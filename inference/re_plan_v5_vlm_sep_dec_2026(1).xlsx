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lan" sheetId="2" state="visible" r:id="rId4"/>
    <sheet name="Interview Map" sheetId="3" state="visible" r:id="rId5"/>
    <sheet name="Resources" sheetId="4" state="visible" r:id="rId6"/>
  </sheets>
  <definedNames>
    <definedName function="false" hidden="true" localSheetId="1" name="_xlnm._FilterDatabase" vbProcedure="false">Plan!$A$1:$I$74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<sst xmlns="http://schemas.openxmlformats.org/spreadsheetml/2006/main" count="859" uniqueCount="597">
  <si>
    <t xml:space="preserve">Plan v5 — Multimodal inference engineer (VLM anchor, diffusion crossover, engine contributions)</t>
  </si>
  <si>
    <t xml:space="preserve">Sep 21 – Dec 31, 2026 · Supersedes v4 (archive it)</t>
  </si>
  <si>
    <t xml:space="preserve">Anchor</t>
  </si>
  <si>
    <t xml:space="preserve">Qwen2.5-VL-3B-Instruct in fp16 on Kaggle T4. Fallback: smallest Qwen3-VL, then SmolVLM. Decide on day 1 and record why.</t>
  </si>
  <si>
    <t xml:space="preserve">Planned hours</t>
  </si>
  <si>
    <t xml:space="preserve">Rules</t>
  </si>
  <si>
    <t xml:space="preserve">Order</t>
  </si>
  <si>
    <t xml:space="preserve">W1–W2 understand and measure Qwen. W3 SigLIP home-decor model (training runs while you set up the engines). W4 engine gap table → first small PR open by Oct 18. W5–W6 diffusion crossover. W7 (Diwali) kernel foundations. W8–W10 kernel + substantive engine PR. W11–W15 depth, artifacts, portfolio.</t>
  </si>
  <si>
    <t xml:space="preserve">Total tasks</t>
  </si>
  <si>
    <t xml:space="preserve">Read what's known before measuring; measure before building; never build what a merged PR already did.</t>
  </si>
  <si>
    <t xml:space="preserve">Assistant rule</t>
  </si>
  <si>
    <t xml:space="preserve">Coding assistant writes scaffolding (harness, scripts, plots, tests, README) and reviews your code. You write the model reimplementations, the sampler, the kernels, and every analysis sentence.</t>
  </si>
  <si>
    <t xml:space="preserve">Tasks done</t>
  </si>
  <si>
    <t xml:space="preserve">One factor at a time. Every experiment: hypothesis, change, baseline, metric, result, analysis, conclusion.</t>
  </si>
  <si>
    <t xml:space="preserve">Contributions</t>
  </si>
  <si>
    <t xml:space="preserve">PRs are background work once open: ~2 h/week for review responses, same-day replies. Never block the main track on a maintainer.</t>
  </si>
  <si>
    <t xml:space="preserve">Hours done</t>
  </si>
  <si>
    <t xml:space="preserve">No speed claim without accuracy on the regression set (ground truth) plus agreement with baseline, both with CIs, and hardware details. Ten images are for traces, never for quality claims. Always compare a kernel to what torch.compile already generates.</t>
  </si>
  <si>
    <t xml:space="preserve">Public</t>
  </si>
  <si>
    <t xml:space="preserve">Nothing public until Artifact 1 (Oct 4). Then one plot/week on X, one findings post per artifact (blog + HF community + repo docs/findings/), Hub model with an honest card, PRs as the primary channel, one lightning talk in December.</t>
  </si>
  <si>
    <t xml:space="preserve">Progress (hours)</t>
  </si>
  <si>
    <t xml:space="preserve">Done-when criteria describe a correctly run experiment, not a favourable result. A null or negative result, reported honestly, completes the task.</t>
  </si>
  <si>
    <t xml:space="preserve">Budget</t>
  </si>
  <si>
    <t xml:space="preserve">Kaggle for all correctness, training, kernels (T4 = fp16 only, no FA2). Modal ≈ $50/month from October for L4 runs in vLLM/SGLang; every headline number gets a T4 and an L4 row.</t>
  </si>
  <si>
    <t xml:space="preserve">Modal spent ($)</t>
  </si>
  <si>
    <t xml:space="preserve">Benchmarks: warm-up, synchronize, ≥20 repeats, median and p95, cold vs warm separately, versions recorded.</t>
  </si>
  <si>
    <t xml:space="preserve">Targets</t>
  </si>
  <si>
    <t xml:space="preserve">First: fal, Fireworks, Together, Baseten, Hugging Face, multimodal and robotics teams, document-AI companies. Later: frontier and generative labs, via referrals earned from PRs and posts.</t>
  </si>
  <si>
    <t xml:space="preserve">Modal budget ($)</t>
  </si>
  <si>
    <t xml:space="preserve">Artifacts lead with findings. Profiling is a method; it appears only in the methods section and in the answer to 'how did you know'.</t>
  </si>
  <si>
    <t xml:space="preserve">Modal remaining ($)</t>
  </si>
  <si>
    <t xml:space="preserve">Licensed data only for the home-decor model. No scraped product photos.</t>
  </si>
  <si>
    <t xml:space="preserve">Blue cells are inputs (spend, budget). Everything else is computed.</t>
  </si>
  <si>
    <t xml:space="preserve">Slip policy: use W7 buffer first. Cut in order: W12-3 → W11-1 → kernel #2 → W13-4 → diffusion crossover to one week. Never cut W2-1, W4-4, W6-4, W8-1, W10-1.</t>
  </si>
  <si>
    <t xml:space="preserve">New ideas go to ideas.md and are reviewed on the first of each month. The plan is executed daily.</t>
  </si>
  <si>
    <t xml:space="preserve">Week / dates</t>
  </si>
  <si>
    <t xml:space="preserve">Done hours</t>
  </si>
  <si>
    <t xml:space="preserve">What this week achieves</t>
  </si>
  <si>
    <t xml:space="preserve">Hard milestone</t>
  </si>
  <si>
    <t xml:space="preserve">W1 — Sep 21–27</t>
  </si>
  <si>
    <t xml:space="preserve">Qwen2.5-VL-3B: read what's known, baseline, trace, first three findings</t>
  </si>
  <si>
    <t xml:space="preserve">W2 — Sep 28–Oct 4</t>
  </si>
  <si>
    <t xml:space="preserve">Encoder block reimplemented and matched, fp16 fixes, two measured optimizations, Artifact 1</t>
  </si>
  <si>
    <t xml:space="preserve">Artifact 1 by Oct 4</t>
  </si>
  <si>
    <t xml:space="preserve">W3 — Oct 5–11</t>
  </si>
  <si>
    <t xml:space="preserve">SigLIP home-decor fine-tune + card (training runs while you set up vLLM/SGLang on L4)</t>
  </si>
  <si>
    <t xml:space="preserve">Model on the Hub</t>
  </si>
  <si>
    <t xml:space="preserve">W4 — Oct 12–18</t>
  </si>
  <si>
    <t xml:space="preserve">Engine vs baseline gap table, contribution list, issue + first small PR opened</t>
  </si>
  <si>
    <t xml:space="preserve">First PR open by Oct 18</t>
  </si>
  <si>
    <t xml:space="preserve">W5 — Oct 19–25</t>
  </si>
  <si>
    <t xml:space="preserve">Diffusion crossover 1: Klein baseline, trace, sampler reimplemented</t>
  </si>
  <si>
    <t xml:space="preserve">W6 — Oct 26–Nov 1</t>
  </si>
  <si>
    <t xml:space="preserve">Diffusion crossover 2: Klein vs Qwen profile post; pick substantive target; kernel memo</t>
  </si>
  <si>
    <t xml:space="preserve">Post 2</t>
  </si>
  <si>
    <t xml:space="preserve">W7 — Nov 2–8 (Diwali; Nov 6 off)</t>
  </si>
  <si>
    <t xml:space="preserve">Deep-work block: GPU mental model, Triton tutorials, kernel #1 contract and first build</t>
  </si>
  <si>
    <t xml:space="preserve">W8 — Nov 9–15</t>
  </si>
  <si>
    <t xml:space="preserve">Kernel #1 finished and benchmarked vs eager and Inductor; custom op; RFC for substantive PR</t>
  </si>
  <si>
    <t xml:space="preserve">W9 — Nov 16–22</t>
  </si>
  <si>
    <t xml:space="preserve">Substantive engine contribution, part 1; kernel #2 if profiler justifies</t>
  </si>
  <si>
    <t xml:space="preserve">W10 — Nov 23–29</t>
  </si>
  <si>
    <t xml:space="preserve">Substantive contribution part 2 with load curves; PR open; Artifact 2</t>
  </si>
  <si>
    <t xml:space="preserve">Artifact 2 + substantive PR by Nov 29</t>
  </si>
  <si>
    <t xml:space="preserve">W11 — Nov 30–Dec 6</t>
  </si>
  <si>
    <t xml:space="preserve">INT8 tower study; regime map inside the engine; review responses</t>
  </si>
  <si>
    <t xml:space="preserve">W12 — Dec 7–13</t>
  </si>
  <si>
    <t xml:space="preserve">Distributed concepts + one 2×T4 run; encoder-disaggregated inference experiment; Artifact 3</t>
  </si>
  <si>
    <t xml:space="preserve">Artifact 3 by Dec 13</t>
  </si>
  <si>
    <t xml:space="preserve">W13 — Dec 14–20</t>
  </si>
  <si>
    <t xml:space="preserve">Load/cost table, clean-room repro, failure taxonomy, post 3, talk deck</t>
  </si>
  <si>
    <t xml:space="preserve">W14 — Dec 21–27</t>
  </si>
  <si>
    <t xml:space="preserve">Technical report, cards, 10-minute walkthrough, evidence map</t>
  </si>
  <si>
    <t xml:space="preserve">W15 — Dec 28–31</t>
  </si>
  <si>
    <t xml:space="preserve">Polish, application list, January plan, buffer</t>
  </si>
  <si>
    <t xml:space="preserve">Portfolio package Dec 31</t>
  </si>
  <si>
    <t xml:space="preserve">Total</t>
  </si>
  <si>
    <t xml:space="preserve">≈22 h/week; W7 (Diwali) is the 32 h deep-work block for kernels</t>
  </si>
  <si>
    <t xml:space="preserve">Hours</t>
  </si>
  <si>
    <t xml:space="preserve">Goal</t>
  </si>
  <si>
    <t xml:space="preserve">Read / learn</t>
  </si>
  <si>
    <t xml:space="preserve">Do</t>
  </si>
  <si>
    <t xml:space="preserve">Deliver / done when</t>
  </si>
  <si>
    <t xml:space="preserve">Compute</t>
  </si>
  <si>
    <t xml:space="preserve">Status</t>
  </si>
  <si>
    <t xml:space="preserve">Notes</t>
  </si>
  <si>
    <t xml:space="preserve">W1-1 — Read what's already known (one evening)</t>
  </si>
  <si>
    <t xml:space="preserve">vLLM multimodal docs + Qwen2.5-VL model page; SGLang multimodal docs; GitHub issues/PRs in both repos filtered by performance/multimodal + Qwen2.5-VL, last 6 months; both roadmap issues; Qwen2.5-VL model card (token rules, resolution limits). Resources: R1, R2, R3, R4, R5, R6, R7, R8</t>
  </si>
  <si>
    <t xml:space="preserve">Write known_fixes.md: what is already optimized, what people still complain about, what the roadmap wants. Start contrib_notes.md.</t>
  </si>
  <si>
    <t xml:space="preserve">Two files exist; you can name five things already fixed and five open complaints.</t>
  </si>
  <si>
    <t xml:space="preserve">Local</t>
  </si>
  <si>
    <t xml:space="preserve">Not Started</t>
  </si>
  <si>
    <t xml:space="preserve">W1-2 — Harness and frozen baseline (assistant-heavy)</t>
  </si>
  <si>
    <t xml:space="preserve">transformers Qwen2.5-VL usage; PyTorch reproducibility notes. Resources: R8, R10, R11</t>
  </si>
  <si>
    <t xml:space="preserve">Repo skeleton (vlm_lab/, experiments/, benchmarks/, docs/findings/, tests/). One command records config, seed, git SHA, versions, GPU, outputs. Run Qwen2.5-VL-3B-Instruct fp16 on Kaggle T4: 10 fixed images × 2 resolutions × fixed prompts. Record latency split, peak memory, image-token count per resolution. Fallback if it doesn't fit: smallest Qwen3-VL, then SmolVLM; document why.</t>
  </si>
  <si>
    <t xml:space="preserve">Baseline table reproducible from a saved command; fits-on-T4 decision recorded.</t>
  </si>
  <si>
    <t xml:space="preserve">Kaggle T4</t>
  </si>
  <si>
    <t xml:space="preserve">W1-3 — First trace and three findings (Monday deliverable)</t>
  </si>
  <si>
    <t xml:space="preserve">PyTorch profiler recipe (schedule, record_shapes, profile_memory, trace export). Resources: R12</t>
  </si>
  <si>
    <t xml:space="preserve">Trace the full request. Write: (1) % time in preprocessing / encoder / prefill / decode; (2) top-5 kernels by self GPU time and the op each belongs to; (3) the one change you'd try first and why.</t>
  </si>
  <si>
    <t xml:space="preserve">docs/findings/00-first-trace.md with the three items and a trace screenshot.</t>
  </si>
  <si>
    <t xml:space="preserve">W1-4 — Tensor trace and architecture diagram (you, not the assistant)</t>
  </si>
  <si>
    <t xml:space="preserve">Qwen2.5-VL paper: vision encoder, dynamic resolution, token merging sections only. transformers model code. Resources: R9, R10</t>
  </si>
  <si>
    <t xml:space="preserve">Forward hooks at image preprocessing output, patch embed, each encoder block type, merger/projector, LLM embedding concat, first LLM block, lm_head. Draw pixels → patches → image tokens → LLM with shapes and how token count scales with resolution.</t>
  </si>
  <si>
    <t xml:space="preserve">docs/architecture.md; you can point to code for every shape.</t>
  </si>
  <si>
    <t xml:space="preserve">W1-5 — Timing helper and roofline worksheet</t>
  </si>
  <si>
    <t xml:space="preserve">PyTorch CUDA semantics (async); Roofline paper Abs + §1–3. Resources: R13, R14</t>
  </si>
  <si>
    <t xml:space="preserve">Helper: warm-up, synchronize, ≥20 repeats, median, p95. Roofline for: one encoder linear, encoder attention at your patch count, the projector, one LLM prefill linear. State memory- vs compute-bound on T4 and L4.</t>
  </si>
  <si>
    <t xml:space="preserve">Tested helper; worksheet with assumptions and verdicts.</t>
  </si>
  <si>
    <t xml:space="preserve">W1-6 — Second profile pass with the split understood</t>
  </si>
  <si>
    <t xml:space="preserve">Your W1-4 diagram. Resources: R12</t>
  </si>
  <si>
    <t xml:space="preserve">Re-read the trace with the architecture in hand. Separate CPU launch overhead from GPU time from preprocessing. Rank bottlenecks with a one-line hypothesis each.</t>
  </si>
  <si>
    <t xml:space="preserve">Ranked bottleneck table v1 in docs/findings/.</t>
  </si>
  <si>
    <t xml:space="preserve">W2-1 — Reimplement one vision-encoder block with real weights (you)</t>
  </si>
  <si>
    <t xml:space="preserve">Qwen2.5-VL encoder block code; SigLIP/ViT block structure; RoPE variant used by the tower. Resources: R9</t>
  </si>
  <si>
    <t xml:space="preserve">Plain-PyTorch block: norm, attention (SDPA), MLP, rotary handling. Load the pretrained weights for that block. Feed captured inputs from W1-4; compare to reference output on 3 images.</t>
  </si>
  <si>
    <t xml:space="preserve">Match table ≤1e-3 in fp32 (state fp16 tolerance separately); block diagram with shapes.</t>
  </si>
  <si>
    <t xml:space="preserve">W2-2 — Numerical stability test in fp16 on T4</t>
  </si>
  <si>
    <t xml:space="preserve">PyTorch AMP notes; activation-range/NaN hooks. Resources: R15</t>
  </si>
  <si>
    <t xml:space="preserve">T4 has no bf16. Run the regression set in fp16 vs fp32: per-module activation ranges, NaN/Inf detection, output agreement. If instabilities appear, localize them and test a mixed policy; if none appear, record that with the evidence.</t>
  </si>
  <si>
    <t xml:space="preserve">Stability table per module and a conclusion (stable / unstable where and fix). A clean result is a valid result.</t>
  </si>
  <si>
    <t xml:space="preserve">W2-0 — Three evaluation sets, three purposes</t>
  </si>
  <si>
    <t xml:space="preserve">lmms-eval and an open VQA benchmark with ground truth (R53, R54). Bootstrap CI (R18).</t>
  </si>
  <si>
    <t xml:space="preserve">(1) Debug set: your 10 images × 2 resolutions, for traces only. (2) Regression set: ~200 items sampled from a public benchmark with ground truth (e.g. TextVQA/DocVQA/ChartQA val), used for every quality-preservation claim; report accuracy vs ground truth AND agreement with the fp32 baseline, with bootstrap CIs. (3) Human-checked subset: 30 items you grade yourself, blind, for optimizations that change outputs. Freeze all three and record sampling seed.</t>
  </si>
  <si>
    <t xml:space="preserve">eval/ has the three sets, a scorer, and a README stating what each set can and cannot support.</t>
  </si>
  <si>
    <t xml:space="preserve">W2-3 — Two one-factor optimizations with paired quality</t>
  </si>
  <si>
    <t xml:space="preserve">torch.compile tutorial (graph breaks, recompiles); SDPA backend docs. Resources: R16, R17, R18</t>
  </si>
  <si>
    <t xml:space="preserve">Candidates from W1-6: batch encoder across images, GPU-side resize/normalize, cached vision outputs for repeated images, compile the encoder, SDPA backend check. Two experiments, one factor each, template README. Quality: accuracy on the regression set vs ground truth and agreement with baseline, both with CIs; human-checked subset if outputs changed.</t>
  </si>
  <si>
    <t xml:space="preserve">Decision table: speed, memory, accuracy Δ ± CI, agreement Δ ± CI, keep/reject. Claims limited to what a 200-item set supports.</t>
  </si>
  <si>
    <t xml:space="preserve">W2-4 — L4 benchmark row</t>
  </si>
  <si>
    <t xml:space="preserve">Modal GPU docs. Resources: R19</t>
  </si>
  <si>
    <t xml:space="preserve">Rerun baseline + accepted optimizations once on L4.</t>
  </si>
  <si>
    <t xml:space="preserve">Table has T4 and L4 columns.</t>
  </si>
  <si>
    <t xml:space="preserve">Modal ≤$2</t>
  </si>
  <si>
    <t xml:space="preserve">W2-5 — Artifact 1: publish the finding, not the method</t>
  </si>
  <si>
    <t xml:space="preserve">Two well-written engineering findings posts for structure. Resources: R52</t>
  </si>
  <si>
    <t xml:space="preserve">README opens with the finding (e.g. where the time goes and what cut it). docs/findings/01-where-time-goes.md with trace figure, block match, precision policy, decision table, what didn't work. Cross-post to your blog and HF community articles; X post with one plot.</t>
  </si>
  <si>
    <t xml:space="preserve">Public by Oct 4; a stranger reproduces the baseline from README.</t>
  </si>
  <si>
    <t xml:space="preserve">W3-1 — Home-decor data policy, dataset, validator</t>
  </si>
  <si>
    <t xml:space="preserve">Datasheets for Datasets §2–3; CC license descriptions; your past FashionCLIP/Marqo pipelines. Resources: R20, R21</t>
  </si>
  <si>
    <t xml:space="preserve">Allowed sources only (CC0/CC-BY/own/explicit permission). 2–5k image–caption pairs, category balanced, held-out split, dedup by hash, leakage check. Validator + dataset card.</t>
  </si>
  <si>
    <t xml:space="preserve">Manifest with license per row; validator tests pass.</t>
  </si>
  <si>
    <t xml:space="preserve">W3-2 — Fine-tune SigLIP for home-decor retrieval</t>
  </si>
  <si>
    <t xml:space="preserve">SigLIP paper §2–3 (sigmoid loss); open_clip / transformers fine-tuning examples; LoRA paper if adapting instead of full fine-tune. Resources: R22, R23, R24, R25</t>
  </si>
  <si>
    <t xml:space="preserve">Base retrieval eval first (frozen). Fine-tune tower+text (LoRA or full, decide by memory) on Kaggle. Log loss, LR, examples seen, checkpoints, resume test.</t>
  </si>
  <si>
    <t xml:space="preserve">A correctly run experiment: frozen split, logged config, base vs fine-tuned on held-out retrieval, and a defensible conclusion either way. If fine-tuning loses or ties, that is the result and goes in the card.</t>
  </si>
  <si>
    <t xml:space="preserve">W3-3 — Paired retrieval eval and model card</t>
  </si>
  <si>
    <t xml:space="preserve">Bootstrap CI; Model Cards paper §2–4. Resources: R18, R26</t>
  </si>
  <si>
    <t xml:space="preserve">Recall@1/5/10 and mAP, base vs fine-tuned, same queries, bootstrap CIs; failure gallery; card with data, license, eval, limits, command. Push to the Hub.</t>
  </si>
  <si>
    <t xml:space="preserve">Model public on the Hub with an honest card.</t>
  </si>
  <si>
    <t xml:space="preserve">Kaggle + local</t>
  </si>
  <si>
    <t xml:space="preserve">W3-4 — Small inference table for the encoder</t>
  </si>
  <si>
    <t xml:space="preserve">torchao int8 overview; your timing helper. Resources: R27</t>
  </si>
  <si>
    <t xml:space="preserve">Batch-size sweep and int8 weight-only on the fine-tuned encoder: throughput images/s, memory, recall delta.</t>
  </si>
  <si>
    <t xml:space="preserve">Training-to-serving table in the card.</t>
  </si>
  <si>
    <t xml:space="preserve">W3-5 — Set up vLLM and SGLang with Qwen2.5-VL on L4 (during training runs)</t>
  </si>
  <si>
    <t xml:space="preserve">vLLM + SGLang install and multimodal serving docs; their bench_serving tools. Resources: R1, R4, R19, R28</t>
  </si>
  <si>
    <t xml:space="preserve">Serve the same model in both engines on Modal L4. Reproduce one published benchmark number each. Run your 10-image set through both.</t>
  </si>
  <si>
    <t xml:space="preserve">Both engines serve your set; published numbers reproduced within tolerance or discrepancy noted.</t>
  </si>
  <si>
    <t xml:space="preserve">Modal ≤$8</t>
  </si>
  <si>
    <t xml:space="preserve">W4-1 — Engine vs baseline gap table</t>
  </si>
  <si>
    <t xml:space="preserve">Your W1-6 table and W3-5 runs.</t>
  </si>
  <si>
    <t xml:space="preserve">Same images/prompts: transformers baseline vs vLLM vs SGLang on L4. Per stage: what each engine already fixed, what is still slow, at which resolution/batch.</t>
  </si>
  <si>
    <t xml:space="preserve">Gap table with numbers per stage per engine.</t>
  </si>
  <si>
    <t xml:space="preserve">Modal ≤$4</t>
  </si>
  <si>
    <t xml:space="preserve">W4-2 — Ranked contribution list</t>
  </si>
  <si>
    <t xml:space="preserve">known_fixes.md, contrib_notes.md, roadmap issues. Resources: R6, R7</t>
  </si>
  <si>
    <t xml:space="preserve">From the gap table and notes: 5–10 candidates with effort, expected impact, evidence, and which repo. Mark the smallest real one and the substantive one.</t>
  </si>
  <si>
    <t xml:space="preserve">contrib_list.md ranked; two items chosen.</t>
  </si>
  <si>
    <t xml:space="preserve">W4-3 — Open the issue with a reproducer</t>
  </si>
  <si>
    <t xml:space="preserve">Target repo's contributing guide and issue template. Resources: R50, R51</t>
  </si>
  <si>
    <t xml:space="preserve">Minimal reproducer script, numbers on L4, environment versions, proposed fix. Ask whether a PR is welcome.</t>
  </si>
  <si>
    <t xml:space="preserve">Issue open; maintainer replied or 3 days elapsed.</t>
  </si>
  <si>
    <t xml:space="preserve">W4-4 — First small PR opened (by Oct 18)</t>
  </si>
  <si>
    <t xml:space="preserve">Repo's dev setup, tests, lint, PR template. Resources: R50, R51</t>
  </si>
  <si>
    <t xml:space="preserve">Implement the smallest item; tests; benchmark before/after in the description; link the issue. Keep it reviewable in 10 minutes.</t>
  </si>
  <si>
    <t xml:space="preserve">PR open. Review responses become a ~2 h/week background task from here on.</t>
  </si>
  <si>
    <t xml:space="preserve">W4-5 — Interview drill 1</t>
  </si>
  <si>
    <t xml:space="preserve">Your own code, trace, equations, failures.</t>
  </si>
  <si>
    <t xml:space="preserve">Record a 10-minute walkthrough of Artifact 1 + the model card. Answer 15 questions cold. Gap list.</t>
  </si>
  <si>
    <t xml:space="preserve">Gap list scheduled into later weeks.</t>
  </si>
  <si>
    <t xml:space="preserve">W5-1 — Klein baselines: two explicit reference configs</t>
  </si>
  <si>
    <t xml:space="preserve">Model cards for both checkpoints (see Resources R30, R31). Distilled reference: 4 steps, guidance 1. Base reference: 50 steps, guidance 4. Record both configs in the harness as named presets. Resources: R29, R30, R31</t>
  </si>
  <si>
    <t xml:space="preserve">Config A: FLUX.2-klein-4B (distilled), 4 steps, guidance 1.0, 12 prompts, fixed seeds, 2 resolutions. Config B: FLUX.2-klein-base-4B, 50 steps, guidance 4.0, same prompts/seeds, one resolution. Latency split text encoder / denoiser / VAE and peak memory for each.</t>
  </si>
  <si>
    <t xml:space="preserve">Two baseline tables, each tagged with checkpoint id, steps, guidance, revision. Never mix A and B in one comparison.</t>
  </si>
  <si>
    <t xml:space="preserve">Kaggle T4 (Base may need CPU offload; note it)</t>
  </si>
  <si>
    <t xml:space="preserve">W5-2 — Klein tensor trace and diagram</t>
  </si>
  <si>
    <t xml:space="preserve">DiT paper §2–3; SD3 §2–3; FLUX.2 block code. Resources: R29, R33, R34</t>
  </si>
  <si>
    <t xml:space="preserve">Hooks through text encoder, patch/latent embed, block types, adaLN, attention, final layer, VAE. Diagram prompt→latent→image with shapes.</t>
  </si>
  <si>
    <t xml:space="preserve">docs/architecture-klein.md.</t>
  </si>
  <si>
    <t xml:space="preserve">W5-3 — Equations with shapes: flow matching and CFG</t>
  </si>
  <si>
    <t xml:space="preserve">Flow Matching §2–4; SD3 §5.3 (shift); CFG §2–3. Resources: R34, R35, R36</t>
  </si>
  <si>
    <t xml:space="preserve">One page: OT path, target velocity, FM loss, timestep shift, CFG combination, each with shapes.</t>
  </si>
  <si>
    <t xml:space="preserve">You can explain velocity vs noise prediction and what distillation removes.</t>
  </si>
  <si>
    <t xml:space="preserve">W5-4 — Reimplement the rectified-flow sampler against both configs (you)</t>
  </si>
  <si>
    <t xml:space="preserve">Your W5-3 note; reference sampling code in the FLUX.2 repo and the Diffusers Flux2 pipeline (R29, R32). Resources: R29, R32</t>
  </si>
  <si>
    <t xml:space="preserve">Plain-PyTorch Euler sampler with timestep shift. Step 1: match Config A (distilled, 4 steps, guidance 1, no CFG) at fixed seed. Step 2: add CFG and match Config B (Base, 50 steps, guidance 4). Same checkpoint and config as the baseline it is compared to, always.</t>
  </si>
  <si>
    <t xml:space="preserve">sampler.py reports max abs diff vs reference for A and for B separately; both within stated tolerance.</t>
  </si>
  <si>
    <t xml:space="preserve">W5-5 — PR review responses</t>
  </si>
  <si>
    <t xml:space="preserve">—</t>
  </si>
  <si>
    <t xml:space="preserve">Answer review comments same day; rebase as needed.</t>
  </si>
  <si>
    <t xml:space="preserve">PR not stale.</t>
  </si>
  <si>
    <t xml:space="preserve">Modal ≤$1</t>
  </si>
  <si>
    <t xml:space="preserve">W5-6 — Weekly public plot</t>
  </si>
  <si>
    <t xml:space="preserve">One plot or table with two sentences, linked to repo.</t>
  </si>
  <si>
    <t xml:space="preserve">Posted.</t>
  </si>
  <si>
    <t xml:space="preserve">W6-1 — Klein vs Qwen side-by-side profile</t>
  </si>
  <si>
    <t xml:space="preserve">Your two traces.</t>
  </si>
  <si>
    <t xml:space="preserve">Same harness, same GPU: where time goes, arithmetic intensity of the dominant ops, memory behaviour, batching characteristics, what a scheduler must handle differently (fixed steps vs variable decode).</t>
  </si>
  <si>
    <t xml:space="preserve">Comparison table + figure.</t>
  </si>
  <si>
    <t xml:space="preserve">Kaggle T4 / Modal ≤$2</t>
  </si>
  <si>
    <t xml:space="preserve">W6-2 — Post 2: serving a model that denoises vs one that decodes</t>
  </si>
  <si>
    <t xml:space="preserve">Resources: R52</t>
  </si>
  <si>
    <t xml:space="preserve">Findings-first writeup from W6-1 with both diagrams. Blog + HF + X.</t>
  </si>
  <si>
    <t xml:space="preserve">Published.</t>
  </si>
  <si>
    <t xml:space="preserve">W6-3 — Choose the substantive contribution with maintainer input</t>
  </si>
  <si>
    <t xml:space="preserve">Issue thread, roadmap, contrib_list.md.</t>
  </si>
  <si>
    <t xml:space="preserve">Pick one: encoder batching across variable-resolution images, image-token/encoder-output cache, preprocessing path to GPU, or kernel integration. Write a short RFC comment in the repo.</t>
  </si>
  <si>
    <t xml:space="preserve">Target agreed or at least not objected to by a maintainer.</t>
  </si>
  <si>
    <t xml:space="preserve">W6-4 — Kernel target memo (inside the engine)</t>
  </si>
  <si>
    <t xml:space="preserve">Engine profiler hooks; roofline worksheet; Amdahl. Resources: R46</t>
  </si>
  <si>
    <t xml:space="preserve">Profile the Qwen encoder/projector path inside the engine at production batch. Two candidate ops (likely norm+residual fusion, RoPE application, patch-embed/merger). Amdahl upper bound each. Inspect what Inductor already emits for them.</t>
  </si>
  <si>
    <t xml:space="preserve">Memo proves target #1 is worth it; names target #2; records Inductor baseline.</t>
  </si>
  <si>
    <t xml:space="preserve">Modal ≤$3</t>
  </si>
  <si>
    <t xml:space="preserve">W6-5 — Review responses + weekly plot</t>
  </si>
  <si>
    <t xml:space="preserve">W7-1 — GPU mental model + one CUDA toy kernel</t>
  </si>
  <si>
    <t xml:space="preserve">CUDA programming guide: execution model, memory hierarchy, coalescing (skim); one occupancy/registers post. Resources: R37, R38, R39</t>
  </si>
  <si>
    <t xml:space="preserve">Vector-add + naive reduction via load_inline. One-page note with T4 and L4 numbers: SMs, warps, occupancy, smem, registers, launch overhead.</t>
  </si>
  <si>
    <t xml:space="preserve">docs/gpu_mental_model.md.</t>
  </si>
  <si>
    <t xml:space="preserve">W7-2 — Triton tutorials 01 and 02</t>
  </si>
  <si>
    <t xml:space="preserve">Triton vector-add and fused-softmax tutorials, every line. Resources: R40, R41</t>
  </si>
  <si>
    <t xml:space="preserve">Rebuild both from memory; odd sizes; correct benchmarks.</t>
  </si>
  <si>
    <t xml:space="preserve">Both pass; honest plots.</t>
  </si>
  <si>
    <t xml:space="preserve">W7-3 — Triton LayerNorm forward and backward</t>
  </si>
  <si>
    <t xml:space="preserve">Triton tutorial 05. Resources: R42</t>
  </si>
  <si>
    <t xml:space="preserve">Implement fwd + bwd; tolerance matrix over shapes/dtypes; gradcheck.</t>
  </si>
  <si>
    <t xml:space="preserve">Matrix passes.</t>
  </si>
  <si>
    <t xml:space="preserve">W7-4 — Kernel #1 contract</t>
  </si>
  <si>
    <t xml:space="preserve">FlashAttention §2–3 for IO-aware reasoning; your W6-4 memo. Resources: R14, R44</t>
  </si>
  <si>
    <t xml:space="preserve">Inputs, strides, dtypes, shapes, edge cases; bytes moved; expected speedup from roofline; stop rule.</t>
  </si>
  <si>
    <t xml:space="preserve">Reviewable contract.</t>
  </si>
  <si>
    <t xml:space="preserve">W7-5 — Build kernel #1 (first working version)</t>
  </si>
  <si>
    <t xml:space="preserve">Triton debugging guide; TRITON_INTERPRET=1. Resources: R43</t>
  </si>
  <si>
    <t xml:space="preserve">Forward path; non-contiguous inputs, odd sizes, fp16/fp32, masks.</t>
  </si>
  <si>
    <t xml:space="preserve">Matches PyTorch on the correctness matrix.</t>
  </si>
  <si>
    <t xml:space="preserve">W7-6 — Catch-up buffer</t>
  </si>
  <si>
    <t xml:space="preserve">Finish anything from W1–W6 that slipped, or start kernel benchmarking early.</t>
  </si>
  <si>
    <t xml:space="preserve">Any</t>
  </si>
  <si>
    <t xml:space="preserve">W8-1 — Benchmark kernel #1 vs eager and Inductor</t>
  </si>
  <si>
    <t xml:space="preserve">TORCH_LOGS=output_code; Triton autotune. Resources: R46</t>
  </si>
  <si>
    <t xml:space="preserve">Real + adversarial shapes; block-size sweep; effective bandwidth; median/p95; compile overhead.</t>
  </si>
  <si>
    <t xml:space="preserve">Wins on real workload or the report says honestly that Inductor is as good and why.</t>
  </si>
  <si>
    <t xml:space="preserve">W8-2 — Wrap as a custom op and run under torch.compile</t>
  </si>
  <si>
    <t xml:space="preserve">PyTorch custom Python operators tutorial; opcheck. Resources: R16, R45</t>
  </si>
  <si>
    <t xml:space="preserve">Registration, fake impl, guards, fallback; graph breaks/recompiles documented.</t>
  </si>
  <si>
    <t xml:space="preserve">Works eager and compiled; fails clearly on unsupported inputs.</t>
  </si>
  <si>
    <t xml:space="preserve">W8-3 — Decide kernel #2</t>
  </si>
  <si>
    <t xml:space="preserve">W6-4 memo; W8-1 results.</t>
  </si>
  <si>
    <t xml:space="preserve">If #1 gave a meaningful end-to-end bound, contract #2; else document why not and redirect hours to the substantive PR.</t>
  </si>
  <si>
    <t xml:space="preserve">Decision recorded with numbers.</t>
  </si>
  <si>
    <t xml:space="preserve">W8-4 — Substantive contribution: design and RFC</t>
  </si>
  <si>
    <t xml:space="preserve">Target repo's architecture docs for the multimodal path; similar merged PRs.</t>
  </si>
  <si>
    <t xml:space="preserve">Design doc: current behaviour, proposed change, interfaces touched, tests, benchmark plan. Post as RFC issue/comment.</t>
  </si>
  <si>
    <t xml:space="preserve">RFC posted; scope agreed.</t>
  </si>
  <si>
    <t xml:space="preserve">W8-5 — Review responses + weekly plot</t>
  </si>
  <si>
    <t xml:space="preserve">W9-1 — Substantive contribution, part 1</t>
  </si>
  <si>
    <t xml:space="preserve">Repo code, RFC feedback.</t>
  </si>
  <si>
    <t xml:space="preserve">Implement behind a flag if possible; unit tests; correctness against baseline outputs on your image set.</t>
  </si>
  <si>
    <t xml:space="preserve">Feature works locally on L4 with tests.</t>
  </si>
  <si>
    <t xml:space="preserve">Modal ≤$6</t>
  </si>
  <si>
    <t xml:space="preserve">W9-2 — Kernel #2 (if justified) or extra PR time</t>
  </si>
  <si>
    <t xml:space="preserve">Contract → implement → correctness → benchmark, same standard as #1.</t>
  </si>
  <si>
    <t xml:space="preserve">Same standard as #1, or hours reassigned to W9-1.</t>
  </si>
  <si>
    <t xml:space="preserve">W9-3 — Review responses + weekly plot</t>
  </si>
  <si>
    <t xml:space="preserve">W10-1 — Substantive contribution, part 2: load curves and PR</t>
  </si>
  <si>
    <t xml:space="preserve">Engine bench_serving; your timing rules. Resources: R28</t>
  </si>
  <si>
    <t xml:space="preserve">Before/after at 1/2/4/8 concurrency, two resolutions: p50/p95, throughput, memory, accuracy check. Open the PR with the numbers, tests, docs.</t>
  </si>
  <si>
    <t xml:space="preserve">Substantive PR open by Nov 29.</t>
  </si>
  <si>
    <t xml:space="preserve">W10-2 — Artifact 2 and post 3: the kernel/end-to-end honesty story</t>
  </si>
  <si>
    <t xml:space="preserve">Kernel numbers vs Inductor, custom-op integration, why microbenchmark gains did or did not survive end to end, what the engine contribution changed. Blog + HF + X.</t>
  </si>
  <si>
    <t xml:space="preserve">Published; repo docs/findings/02-kernels.md.</t>
  </si>
  <si>
    <t xml:space="preserve">W10-3 — Modern-GPU rows for all headline numbers</t>
  </si>
  <si>
    <t xml:space="preserve">Rerun W8-1, W10-1 tables once on L4 (and A10G if budget allows).</t>
  </si>
  <si>
    <t xml:space="preserve">Every headline number has a T4 and an L4 row.</t>
  </si>
  <si>
    <t xml:space="preserve">W10-4 — Review responses</t>
  </si>
  <si>
    <t xml:space="preserve">W11-1 — INT8 study on the vision tower inside the engine</t>
  </si>
  <si>
    <t xml:space="preserve">torchao int8 docs; engine quantization docs. Resources: R27</t>
  </si>
  <si>
    <t xml:space="preserve">Weight-only and dynamic int8 on tower linears: latency, memory, accuracy on your set, paired.</t>
  </si>
  <si>
    <t xml:space="preserve">Keep/reject by speed+memory+accuracy.</t>
  </si>
  <si>
    <t xml:space="preserve">W11-2 — Regime map</t>
  </si>
  <si>
    <t xml:space="preserve">Sweep resolution × batch × precision × compile × your ops × int8 (valid combos). Plot where each helps or hurts.</t>
  </si>
  <si>
    <t xml:space="preserve">Operating guidance in docs/findings/03-regime-map.md.</t>
  </si>
  <si>
    <t xml:space="preserve">W11-3 — Review responses on both PRs</t>
  </si>
  <si>
    <t xml:space="preserve">Address comments same day; split PR if asked.</t>
  </si>
  <si>
    <t xml:space="preserve">PRs progressing.</t>
  </si>
  <si>
    <t xml:space="preserve">W11-4 — Weekly plot + interview drill 2</t>
  </si>
  <si>
    <t xml:space="preserve">Record 10-minute walkthrough of Artifacts 1–2; 15 new questions cold.</t>
  </si>
  <si>
    <t xml:space="preserve">Gap list updated.</t>
  </si>
  <si>
    <t xml:space="preserve">W12-1 — Distributed on paper</t>
  </si>
  <si>
    <t xml:space="preserve">PyTorch distributed overview; FSDP2 tutorial. Resources: R47, R49</t>
  </si>
  <si>
    <t xml:space="preserve">Memory and communication per step for single GPU, DDP, FSDP2; estimates for a 3B model.</t>
  </si>
  <si>
    <t xml:space="preserve">One-page note; interview-ready.</t>
  </si>
  <si>
    <t xml:space="preserve">W12-2 — One real 2×T4 DDP run</t>
  </si>
  <si>
    <t xml:space="preserve">DDP tutorial. Resources: R48</t>
  </si>
  <si>
    <t xml:space="preserve">Small model (your SigLIP fine-tune or a tiny ViT): constant then scaled global batch; loss agreement; throughput; checkpoint.</t>
  </si>
  <si>
    <t xml:space="preserve">Scaling efficiency explained with numbers.</t>
  </si>
  <si>
    <t xml:space="preserve">Kaggle 2×T4</t>
  </si>
  <si>
    <t xml:space="preserve">W12-3 — Encoder-disaggregated / multi-GPU inference experiment</t>
  </si>
  <si>
    <t xml:space="preserve">vLLM/SGLang encoder-disaggregation docs.</t>
  </si>
  <si>
    <t xml:space="preserve">Run encoder and LLM on separate GPUs vs same GPU (2×T4 or 2 Modal GPUs briefly); latency, throughput, utilization.</t>
  </si>
  <si>
    <t xml:space="preserve">Table and explanation of when disaggregation pays.</t>
  </si>
  <si>
    <t xml:space="preserve">Kaggle 2×T4 / Modal ≤$4</t>
  </si>
  <si>
    <t xml:space="preserve">W12-4 — Artifact 3</t>
  </si>
  <si>
    <t xml:space="preserve">Regime map, int8, disaggregation, distributed notes, raw data, commands, limitations.</t>
  </si>
  <si>
    <t xml:space="preserve">Auditable; published by Dec 13.</t>
  </si>
  <si>
    <t xml:space="preserve">W12-5 — Review responses + weekly plot</t>
  </si>
  <si>
    <t xml:space="preserve">W13-1 — Load and cost table</t>
  </si>
  <si>
    <t xml:space="preserve">Final numbers for the VLM under your accepted optimizations on L4: p50/p95, throughput, memory, cost per 1k images at two resolutions.</t>
  </si>
  <si>
    <t xml:space="preserve">One reproducible table.</t>
  </si>
  <si>
    <t xml:space="preserve">W13-2 — Clean-room reproducibility</t>
  </si>
  <si>
    <t xml:space="preserve">Resources: R11</t>
  </si>
  <si>
    <t xml:space="preserve">Fresh clone, tests, one benchmark, one inference; CPU-safe CI.</t>
  </si>
  <si>
    <t xml:space="preserve">Works without hidden state.</t>
  </si>
  <si>
    <t xml:space="preserve">Local + one Kaggle check</t>
  </si>
  <si>
    <t xml:space="preserve">W13-3 — Failure taxonomy for optimized inference</t>
  </si>
  <si>
    <t xml:space="preserve">Where optimizations changed outputs: resolution edge cases, long prompts, multi-image, quantization regressions. Frequency, cause, next step.</t>
  </si>
  <si>
    <t xml:space="preserve">Each class has an example and a next experiment.</t>
  </si>
  <si>
    <t xml:space="preserve">W13-4 — Lightning talk deck</t>
  </si>
  <si>
    <t xml:space="preserve">10 slides from Artifacts 1–3; submit to a Bengaluru PyTorch/ML meetup.</t>
  </si>
  <si>
    <t xml:space="preserve">Deck done; talk submitted.</t>
  </si>
  <si>
    <t xml:space="preserve">W13-5 — Post 4 + review responses</t>
  </si>
  <si>
    <t xml:space="preserve">Post: the findings from the regime map or disaggregation. Keep PRs moving.</t>
  </si>
  <si>
    <t xml:space="preserve">W14-1 — Technical report + model/dataset cards</t>
  </si>
  <si>
    <t xml:space="preserve">Model Cards §2–4; Datasheets questionnaire. Resources: R26</t>
  </si>
  <si>
    <t xml:space="preserve">Problem, architectures (both), training week, findings 1–4, kernels, contributions, distributed, serving, costs, failures, limitations.</t>
  </si>
  <si>
    <t xml:space="preserve">Every claim links to code/config/measurement.</t>
  </si>
  <si>
    <t xml:space="preserve">W14-2 — 10-minute walkthrough (timed, recorded)</t>
  </si>
  <si>
    <t xml:space="preserve">Problem → first finding → model internals → training → engine gap → kernel → contribution → what failed → next.</t>
  </si>
  <si>
    <t xml:space="preserve">Under 10 minutes; each claim jumps to evidence.</t>
  </si>
  <si>
    <t xml:space="preserve">W14-3 — 40-question evidence map</t>
  </si>
  <si>
    <t xml:space="preserve">Write and answer 40 questions; link each to something you built.</t>
  </si>
  <si>
    <t xml:space="preserve">Map complete; gaps listed.</t>
  </si>
  <si>
    <t xml:space="preserve">W14-4 — Review responses</t>
  </si>
  <si>
    <t xml:space="preserve">W15-1 — Final polish and README pass</t>
  </si>
  <si>
    <t xml:space="preserve">README leads with findings; artifact links; badges for Hub model and PRs.</t>
  </si>
  <si>
    <t xml:space="preserve">A stranger understands the repo in 3 minutes.</t>
  </si>
  <si>
    <t xml:space="preserve">W15-2 — Application and outreach list</t>
  </si>
  <si>
    <t xml:space="preserve">20 target companies (platforms, multimodal teams, robotics, document AI) with a named engineer or maintainer contact route for each.</t>
  </si>
  <si>
    <t xml:space="preserve">List with next action per company.</t>
  </si>
  <si>
    <t xml:space="preserve">W15-3 — January plan</t>
  </si>
  <si>
    <t xml:space="preserve">Choose: scale (a second substantive PR / disaggregated serving), CUDA depth, or video models. Draft 4 weeks.</t>
  </si>
  <si>
    <t xml:space="preserve">Draft plan.</t>
  </si>
  <si>
    <t xml:space="preserve">W15-4 — Buffer</t>
  </si>
  <si>
    <t xml:space="preserve">Theme</t>
  </si>
  <si>
    <t xml:space="preserve">Question you must answer</t>
  </si>
  <si>
    <t xml:space="preserve">Evidence (fill as you go)</t>
  </si>
  <si>
    <t xml:space="preserve">Confidence 1–5</t>
  </si>
  <si>
    <t xml:space="preserve">VLM internals</t>
  </si>
  <si>
    <t xml:space="preserve">Pixels to tokens to text with shapes; how image-token count scales; where the projector sits</t>
  </si>
  <si>
    <t xml:space="preserve">docs/architecture.md, block match table</t>
  </si>
  <si>
    <t xml:space="preserve">Where time goes</t>
  </si>
  <si>
    <t xml:space="preserve">Split across preprocessing/encoder/prefill/decode and why; what an engine already fixes</t>
  </si>
  <si>
    <t xml:space="preserve">findings 01, W4-1 gap table</t>
  </si>
  <si>
    <t xml:space="preserve">Precision</t>
  </si>
  <si>
    <t xml:space="preserve">fp16 vs bf16 failure modes; which layers broke and why</t>
  </si>
  <si>
    <t xml:space="preserve">W2-2 writeup</t>
  </si>
  <si>
    <t xml:space="preserve">Evaluation</t>
  </si>
  <si>
    <t xml:space="preserve">How you know a speedup didn't change answers; paired protocol with CIs</t>
  </si>
  <si>
    <t xml:space="preserve">W2-3 decision tables</t>
  </si>
  <si>
    <t xml:space="preserve">Training</t>
  </si>
  <si>
    <t xml:space="preserve">SigLIP objective; fine-tune vs LoRA choice; retrieval eval; leakage checks</t>
  </si>
  <si>
    <t xml:space="preserve">Hub card, W3-3</t>
  </si>
  <si>
    <t xml:space="preserve">Generative crossover</t>
  </si>
  <si>
    <t xml:space="preserve">Denoise vs decode: what differs for a scheduler; flow matching; what distillation removes</t>
  </si>
  <si>
    <t xml:space="preserve">findings post 2, sampler.py</t>
  </si>
  <si>
    <t xml:space="preserve">Roofline / GPU</t>
  </si>
  <si>
    <t xml:space="preserve">Prove an op is memory-bound; T4 vs L4 numbers; occupancy, coalescing, launch overhead</t>
  </si>
  <si>
    <t xml:space="preserve">W1-5, gpu_mental_model.md, kernel contract</t>
  </si>
  <si>
    <t xml:space="preserve">Kernels</t>
  </si>
  <si>
    <t xml:space="preserve">Triton program IDs, masks, autotune; beat Inductor or not; why e2e gain differs from microbench</t>
  </si>
  <si>
    <t xml:space="preserve">W8-1, W10-2</t>
  </si>
  <si>
    <t xml:space="preserve">Compile / custom ops</t>
  </si>
  <si>
    <t xml:space="preserve">Graph breaks, recompiles, registering an op safely</t>
  </si>
  <si>
    <t xml:space="preserve">W8-2</t>
  </si>
  <si>
    <t xml:space="preserve">Quantization</t>
  </si>
  <si>
    <t xml:space="preserve">int8 on a vision tower: when it helps, accuracy impact</t>
  </si>
  <si>
    <t xml:space="preserve">W11-1</t>
  </si>
  <si>
    <t xml:space="preserve">Serving</t>
  </si>
  <si>
    <t xml:space="preserve">Encoder batching, image-token caching, disaggregation trade-offs, cost per 1k images</t>
  </si>
  <si>
    <t xml:space="preserve">substantive PR, W12-3, W13-1</t>
  </si>
  <si>
    <t xml:space="preserve">Open source</t>
  </si>
  <si>
    <t xml:space="preserve">Walk me through your PR: problem, evidence, design, review changes</t>
  </si>
  <si>
    <t xml:space="preserve">PR links, RFC</t>
  </si>
  <si>
    <t xml:space="preserve">Distributed</t>
  </si>
  <si>
    <t xml:space="preserve">all-reduce vs reduce-scatter/all-gather; DDP vs FSDP2 for a 3B model</t>
  </si>
  <si>
    <t xml:space="preserve">W12-1, W12-2</t>
  </si>
  <si>
    <t xml:space="preserve">Debugging story</t>
  </si>
  <si>
    <t xml:space="preserve">One real failure diagnosed end to end</t>
  </si>
  <si>
    <t xml:space="preserve">fp16 (W2-2) or a kernel correctness bug</t>
  </si>
  <si>
    <t xml:space="preserve">ID</t>
  </si>
  <si>
    <t xml:space="preserve">Resource</t>
  </si>
  <si>
    <t xml:space="preserve">URL</t>
  </si>
  <si>
    <t xml:space="preserve">Used in</t>
  </si>
  <si>
    <t xml:space="preserve">R1</t>
  </si>
  <si>
    <t xml:space="preserve">vLLM multimodal inputs docs</t>
  </si>
  <si>
    <t xml:space="preserve">https://docs.vllm.ai/en/latest/features/multimodal_inputs.html</t>
  </si>
  <si>
    <t xml:space="preserve">W1-1, W3-5</t>
  </si>
  <si>
    <t xml:space="preserve">R2</t>
  </si>
  <si>
    <t xml:space="preserve">vLLM supported models (find Qwen2.5-VL entry)</t>
  </si>
  <si>
    <t xml:space="preserve">https://docs.vllm.ai/en/latest/models/supported_models.html</t>
  </si>
  <si>
    <t xml:space="preserve">W1-1</t>
  </si>
  <si>
    <t xml:space="preserve">R3</t>
  </si>
  <si>
    <t xml:space="preserve">vLLM issues: performance + multimodal</t>
  </si>
  <si>
    <t xml:space="preserve">https://github.com/vllm-project/vllm/issues?q=is%3Aissue+label%3Aperformance+qwen2.5-vl</t>
  </si>
  <si>
    <t xml:space="preserve">R4</t>
  </si>
  <si>
    <t xml:space="preserve">SGLang multimodal docs</t>
  </si>
  <si>
    <t xml:space="preserve">https://docs.sglang.ai/supported_models/multimodal_language_models.html</t>
  </si>
  <si>
    <t xml:space="preserve">R5</t>
  </si>
  <si>
    <t xml:space="preserve">SGLang issues: Qwen2.5-VL</t>
  </si>
  <si>
    <t xml:space="preserve">https://github.com/sgl-project/sglang/issues?q=qwen2.5-vl</t>
  </si>
  <si>
    <t xml:space="preserve">R6</t>
  </si>
  <si>
    <t xml:space="preserve">SGLang roadmap issues</t>
  </si>
  <si>
    <t xml:space="preserve">https://github.com/sgl-project/sglang/issues?q=is%3Aissue+roadmap</t>
  </si>
  <si>
    <t xml:space="preserve">W1-1, W4-2</t>
  </si>
  <si>
    <t xml:space="preserve">R7</t>
  </si>
  <si>
    <t xml:space="preserve">vLLM roadmap issues</t>
  </si>
  <si>
    <t xml:space="preserve">https://github.com/vllm-project/vllm/issues?q=is%3Aissue+roadmap</t>
  </si>
  <si>
    <t xml:space="preserve">R8</t>
  </si>
  <si>
    <t xml:space="preserve">Qwen2.5-VL-3B-Instruct model card</t>
  </si>
  <si>
    <t xml:space="preserve">https://huggingface.co/Qwen/Qwen2.5-VL-3B-Instruct</t>
  </si>
  <si>
    <t xml:space="preserve">W1-1, W1-2</t>
  </si>
  <si>
    <t xml:space="preserve">R9</t>
  </si>
  <si>
    <t xml:space="preserve">Qwen2.5-VL technical report (arXiv 2502.13923)</t>
  </si>
  <si>
    <t xml:space="preserve">https://arxiv.org/abs/2502.13923</t>
  </si>
  <si>
    <t xml:space="preserve">W1-4, W2-1</t>
  </si>
  <si>
    <t xml:space="preserve">R10</t>
  </si>
  <si>
    <t xml:space="preserve">transformers Qwen2.5-VL docs</t>
  </si>
  <si>
    <t xml:space="preserve">https://huggingface.co/docs/transformers/model_doc/qwen2_5_vl</t>
  </si>
  <si>
    <t xml:space="preserve">W1-2, W1-4</t>
  </si>
  <si>
    <t xml:space="preserve">R11</t>
  </si>
  <si>
    <t xml:space="preserve">PyTorch reproducibility notes</t>
  </si>
  <si>
    <t xml:space="preserve">https://docs.pytorch.org/docs/stable/notes/randomness.html</t>
  </si>
  <si>
    <t xml:space="preserve">W1-2, W13-2</t>
  </si>
  <si>
    <t xml:space="preserve">R12</t>
  </si>
  <si>
    <t xml:space="preserve">PyTorch profiler recipe</t>
  </si>
  <si>
    <t xml:space="preserve">https://docs.pytorch.org/tutorials/recipes/recipes/profiler_recipe.html</t>
  </si>
  <si>
    <t xml:space="preserve">W1-3, W1-6</t>
  </si>
  <si>
    <t xml:space="preserve">R13</t>
  </si>
  <si>
    <t xml:space="preserve">PyTorch CUDA semantics (async execution)</t>
  </si>
  <si>
    <t xml:space="preserve">https://docs.pytorch.org/docs/stable/notes/cuda.html</t>
  </si>
  <si>
    <t xml:space="preserve">W1-5</t>
  </si>
  <si>
    <t xml:space="preserve">R14</t>
  </si>
  <si>
    <t xml:space="preserve">Roofline paper (Williams 2009)</t>
  </si>
  <si>
    <t xml:space="preserve">https://dl.acm.org/doi/10.1145/1498765.1498785</t>
  </si>
  <si>
    <t xml:space="preserve">W1-5, W7-4</t>
  </si>
  <si>
    <t xml:space="preserve">R15</t>
  </si>
  <si>
    <t xml:space="preserve">PyTorch AMP examples</t>
  </si>
  <si>
    <t xml:space="preserve">https://docs.pytorch.org/docs/stable/notes/amp_examples.html</t>
  </si>
  <si>
    <t xml:space="preserve">W2-2</t>
  </si>
  <si>
    <t xml:space="preserve">R16</t>
  </si>
  <si>
    <t xml:space="preserve">torch.compile tutorial</t>
  </si>
  <si>
    <t xml:space="preserve">https://docs.pytorch.org/tutorials/intermediate/torch_compile_tutorial.html</t>
  </si>
  <si>
    <t xml:space="preserve">W2-3, W8-2</t>
  </si>
  <si>
    <t xml:space="preserve">R17</t>
  </si>
  <si>
    <t xml:space="preserve">SDPA docs</t>
  </si>
  <si>
    <t xml:space="preserve">https://docs.pytorch.org/docs/stable/generated/torch.nn.functional.scaled_dot_product_attention.html</t>
  </si>
  <si>
    <t xml:space="preserve">W2-3</t>
  </si>
  <si>
    <t xml:space="preserve">R18</t>
  </si>
  <si>
    <t xml:space="preserve">SciPy bootstrap</t>
  </si>
  <si>
    <t xml:space="preserve">https://docs.scipy.org/doc/scipy/reference/generated/scipy.stats.bootstrap.html</t>
  </si>
  <si>
    <t xml:space="preserve">W2-3, W3-3</t>
  </si>
  <si>
    <t xml:space="preserve">R19</t>
  </si>
  <si>
    <t xml:space="preserve">Modal GPU docs</t>
  </si>
  <si>
    <t xml:space="preserve">https://modal.com/docs/guide/gpu</t>
  </si>
  <si>
    <t xml:space="preserve">W2-4, W3-5</t>
  </si>
  <si>
    <t xml:space="preserve">R20</t>
  </si>
  <si>
    <t xml:space="preserve">Amazon Berkeley Objects dataset (CC BY 4.0)</t>
  </si>
  <si>
    <t xml:space="preserve">https://amazon-berkeley-objects.s3.amazonaws.com/index.html</t>
  </si>
  <si>
    <t xml:space="preserve">W3-1</t>
  </si>
  <si>
    <t xml:space="preserve">R21</t>
  </si>
  <si>
    <t xml:space="preserve">Datasheets for Datasets</t>
  </si>
  <si>
    <t xml:space="preserve">https://arxiv.org/abs/1803.09010</t>
  </si>
  <si>
    <t xml:space="preserve">R22</t>
  </si>
  <si>
    <t xml:space="preserve">SigLIP paper (arXiv 2303.15343)</t>
  </si>
  <si>
    <t xml:space="preserve">https://arxiv.org/abs/2303.15343</t>
  </si>
  <si>
    <t xml:space="preserve">W3-2</t>
  </si>
  <si>
    <t xml:space="preserve">R23</t>
  </si>
  <si>
    <t xml:space="preserve">open_clip (training/fine-tuning code)</t>
  </si>
  <si>
    <t xml:space="preserve">https://github.com/mlfoundations/open_clip</t>
  </si>
  <si>
    <t xml:space="preserve">R24</t>
  </si>
  <si>
    <t xml:space="preserve">transformers SigLIP docs</t>
  </si>
  <si>
    <t xml:space="preserve">https://huggingface.co/docs/transformers/model_doc/siglip</t>
  </si>
  <si>
    <t xml:space="preserve">R25</t>
  </si>
  <si>
    <t xml:space="preserve">LoRA paper</t>
  </si>
  <si>
    <t xml:space="preserve">https://arxiv.org/abs/2106.09685</t>
  </si>
  <si>
    <t xml:space="preserve">R26</t>
  </si>
  <si>
    <t xml:space="preserve">Model Cards paper</t>
  </si>
  <si>
    <t xml:space="preserve">https://arxiv.org/abs/1810.03993</t>
  </si>
  <si>
    <t xml:space="preserve">W3-3, W14-1</t>
  </si>
  <si>
    <t xml:space="preserve">R27</t>
  </si>
  <si>
    <t xml:space="preserve">torchao quantization overview</t>
  </si>
  <si>
    <t xml:space="preserve">https://docs.pytorch.org/ao/stable/quantization_overview.html</t>
  </si>
  <si>
    <t xml:space="preserve">W3-4, W11-1</t>
  </si>
  <si>
    <t xml:space="preserve">R28</t>
  </si>
  <si>
    <t xml:space="preserve">vLLM benchmark_serving</t>
  </si>
  <si>
    <t xml:space="preserve">https://github.com/vllm-project/vllm/tree/main/benchmarks</t>
  </si>
  <si>
    <t xml:space="preserve">W3-5, W10-1</t>
  </si>
  <si>
    <t xml:space="preserve">R29</t>
  </si>
  <si>
    <t xml:space="preserve">FLUX.2 official repo (reference sampling code)</t>
  </si>
  <si>
    <t xml:space="preserve">https://github.com/black-forest-labs/flux2</t>
  </si>
  <si>
    <t xml:space="preserve">W5-1, W5-2, W5-4</t>
  </si>
  <si>
    <t xml:space="preserve">R30</t>
  </si>
  <si>
    <t xml:space="preserve">FLUX.2-klein-4B (distilled) model card</t>
  </si>
  <si>
    <t xml:space="preserve">https://huggingface.co/black-forest-labs/FLUX.2-klein-4B</t>
  </si>
  <si>
    <t xml:space="preserve">W5-1</t>
  </si>
  <si>
    <t xml:space="preserve">R31</t>
  </si>
  <si>
    <t xml:space="preserve">FLUX.2-klein-base-4B model card</t>
  </si>
  <si>
    <t xml:space="preserve">https://huggingface.co/black-forest-labs/FLUX.2-klein-base-4B</t>
  </si>
  <si>
    <t xml:space="preserve">R32</t>
  </si>
  <si>
    <t xml:space="preserve">Diffusers Flux2 pipeline docs</t>
  </si>
  <si>
    <t xml:space="preserve">https://huggingface.co/docs/diffusers/api/pipelines/flux2</t>
  </si>
  <si>
    <t xml:space="preserve">W5-4</t>
  </si>
  <si>
    <t xml:space="preserve">R33</t>
  </si>
  <si>
    <t xml:space="preserve">DiT paper</t>
  </si>
  <si>
    <t xml:space="preserve">https://arxiv.org/abs/2212.09748</t>
  </si>
  <si>
    <t xml:space="preserve">W5-2</t>
  </si>
  <si>
    <t xml:space="preserve">R34</t>
  </si>
  <si>
    <t xml:space="preserve">SD3 / rectified flow scaling paper</t>
  </si>
  <si>
    <t xml:space="preserve">https://arxiv.org/abs/2403.03206</t>
  </si>
  <si>
    <t xml:space="preserve">W5-2, W5-3</t>
  </si>
  <si>
    <t xml:space="preserve">R35</t>
  </si>
  <si>
    <t xml:space="preserve">Flow Matching paper</t>
  </si>
  <si>
    <t xml:space="preserve">https://arxiv.org/abs/2210.02747</t>
  </si>
  <si>
    <t xml:space="preserve">W5-3</t>
  </si>
  <si>
    <t xml:space="preserve">R36</t>
  </si>
  <si>
    <t xml:space="preserve">Classifier-Free Guidance paper</t>
  </si>
  <si>
    <t xml:space="preserve">https://arxiv.org/abs/2207.12598</t>
  </si>
  <si>
    <t xml:space="preserve">R37</t>
  </si>
  <si>
    <t xml:space="preserve">CUDA C Programming Guide</t>
  </si>
  <si>
    <t xml:space="preserve">https://docs.nvidia.com/cuda/cuda-c-programming-guide/index.html</t>
  </si>
  <si>
    <t xml:space="preserve">W7-1</t>
  </si>
  <si>
    <t xml:space="preserve">R38</t>
  </si>
  <si>
    <t xml:space="preserve">CUDA occupancy / best practices guide</t>
  </si>
  <si>
    <t xml:space="preserve">https://docs.nvidia.com/cuda/cuda-c-best-practices-guide/index.html</t>
  </si>
  <si>
    <t xml:space="preserve">R39</t>
  </si>
  <si>
    <t xml:space="preserve">PyTorch load_inline (cpp_extension)</t>
  </si>
  <si>
    <t xml:space="preserve">https://docs.pytorch.org/docs/stable/cpp_extension.html</t>
  </si>
  <si>
    <t xml:space="preserve">R40</t>
  </si>
  <si>
    <t xml:space="preserve">Triton tutorial 01 vector add</t>
  </si>
  <si>
    <t xml:space="preserve">https://triton-lang.org/main/getting-started/tutorials/01-vector-add.html</t>
  </si>
  <si>
    <t xml:space="preserve">W7-2</t>
  </si>
  <si>
    <t xml:space="preserve">R41</t>
  </si>
  <si>
    <t xml:space="preserve">Triton tutorial 02 fused softmax</t>
  </si>
  <si>
    <t xml:space="preserve">https://triton-lang.org/main/getting-started/tutorials/02-fused-softmax.html</t>
  </si>
  <si>
    <t xml:space="preserve">R42</t>
  </si>
  <si>
    <t xml:space="preserve">Triton tutorial 05 layer norm</t>
  </si>
  <si>
    <t xml:space="preserve">https://triton-lang.org/main/getting-started/tutorials/05-layer-norm.html</t>
  </si>
  <si>
    <t xml:space="preserve">W7-3</t>
  </si>
  <si>
    <t xml:space="preserve">R43</t>
  </si>
  <si>
    <t xml:space="preserve">Triton debugging guide</t>
  </si>
  <si>
    <t xml:space="preserve">https://triton-lang.org/main/programming-guide/chapter-3/debugging.html</t>
  </si>
  <si>
    <t xml:space="preserve">W7-5</t>
  </si>
  <si>
    <t xml:space="preserve">R44</t>
  </si>
  <si>
    <t xml:space="preserve">FlashAttention paper</t>
  </si>
  <si>
    <t xml:space="preserve">https://arxiv.org/abs/2205.14135</t>
  </si>
  <si>
    <t xml:space="preserve">W7-4</t>
  </si>
  <si>
    <t xml:space="preserve">R45</t>
  </si>
  <si>
    <t xml:space="preserve">PyTorch custom Python operators tutorial</t>
  </si>
  <si>
    <t xml:space="preserve">https://docs.pytorch.org/tutorials/advanced/python_custom_ops.html</t>
  </si>
  <si>
    <t xml:space="preserve">R46</t>
  </si>
  <si>
    <t xml:space="preserve">PyTorch torch.compile troubleshooting / TORCH_LOGS</t>
  </si>
  <si>
    <t xml:space="preserve">https://docs.pytorch.org/docs/stable/torch.compiler_troubleshooting.html</t>
  </si>
  <si>
    <t xml:space="preserve">W6-4, W8-1</t>
  </si>
  <si>
    <t xml:space="preserve">R47</t>
  </si>
  <si>
    <t xml:space="preserve">PyTorch distributed overview</t>
  </si>
  <si>
    <t xml:space="preserve">https://pytorch.org/tutorials/beginner/dist_overview.html</t>
  </si>
  <si>
    <t xml:space="preserve">W12-1</t>
  </si>
  <si>
    <t xml:space="preserve">R48</t>
  </si>
  <si>
    <t xml:space="preserve">DDP tutorial</t>
  </si>
  <si>
    <t xml:space="preserve">https://pytorch.org/tutorials/intermediate/ddp_tutorial.html</t>
  </si>
  <si>
    <t xml:space="preserve">W12-2</t>
  </si>
  <si>
    <t xml:space="preserve">R49</t>
  </si>
  <si>
    <t xml:space="preserve">FSDP2 tutorial</t>
  </si>
  <si>
    <t xml:space="preserve">https://docs.pytorch.org/tutorials/intermediate/FSDP_tutorial.html</t>
  </si>
  <si>
    <t xml:space="preserve">R50</t>
  </si>
  <si>
    <t xml:space="preserve">vLLM contributing guide</t>
  </si>
  <si>
    <t xml:space="preserve">https://docs.vllm.ai/en/latest/contributing/index.html</t>
  </si>
  <si>
    <t xml:space="preserve">W4-3, W4-4</t>
  </si>
  <si>
    <t xml:space="preserve">R51</t>
  </si>
  <si>
    <t xml:space="preserve">SGLang contribution guide</t>
  </si>
  <si>
    <t xml:space="preserve">https://docs.sglang.ai/developer_guide/contribution_guide.html</t>
  </si>
  <si>
    <t xml:space="preserve">R52</t>
  </si>
  <si>
    <t xml:space="preserve">Hugging Face community articles (blog cross-posting)</t>
  </si>
  <si>
    <t xml:space="preserve">https://huggingface.co/blog/community</t>
  </si>
  <si>
    <t xml:space="preserve">W2-5, W6-2</t>
  </si>
  <si>
    <t xml:space="preserve">Note</t>
  </si>
  <si>
    <t xml:space="preserve">URLs verified as stable documentation/paper locations as of Sep 2026; GitHub issue-search links are queries and will change over time. If a page has moved, search the resource name.</t>
  </si>
</sst>
</file>

<file path=xl/styles.xml><?xml version="1.0" encoding="utf-8"?>
<styleSheet xmlns="http://schemas.openxmlformats.org/spreadsheetml/2006/main">
  <numFmts count="3">
    <numFmt numFmtId="164" formatCode="General"/>
    <numFmt numFmtId="165" formatCode="General"/>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0"/>
      <name val="Arial"/>
      <family val="0"/>
      <charset val="1"/>
    </font>
    <font>
      <sz val="10"/>
      <name val="Arial"/>
      <family val="0"/>
      <charset val="1"/>
    </font>
    <font>
      <i val="true"/>
      <sz val="9"/>
      <name val="Arial"/>
      <family val="0"/>
      <charset val="1"/>
    </font>
    <font>
      <b val="true"/>
      <sz val="11"/>
      <color rgb="FFFFFFFF"/>
      <name val="Arial"/>
      <family val="0"/>
      <charset val="1"/>
    </font>
    <font>
      <b val="true"/>
      <sz val="11"/>
      <name val="Arial"/>
      <family val="0"/>
      <charset val="1"/>
    </font>
    <font>
      <u val="single"/>
      <sz val="10"/>
      <color rgb="FF0563C1"/>
      <name val="Arial"/>
      <family val="0"/>
      <charset val="1"/>
    </font>
  </fonts>
  <fills count="6">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E2EFDA"/>
        <bgColor rgb="FFF2F2F2"/>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general" vertical="center" textRotation="0" wrapText="true" indent="0" shrinkToFit="false"/>
      <protection locked="true" hidden="false"/>
    </xf>
    <xf numFmtId="164" fontId="7" fillId="5"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docs.vllm.ai/en/latest/features/multimodal_inputs.html" TargetMode="External"/><Relationship Id="rId2" Type="http://schemas.openxmlformats.org/officeDocument/2006/relationships/hyperlink" Target="https://docs.vllm.ai/en/latest/models/supported_models.html" TargetMode="External"/><Relationship Id="rId3" Type="http://schemas.openxmlformats.org/officeDocument/2006/relationships/hyperlink" Target="https://github.com/vllm-project/vllm/issues?q=is%3Aissue+label%3Aperformance+qwen2.5-vl" TargetMode="External"/><Relationship Id="rId4" Type="http://schemas.openxmlformats.org/officeDocument/2006/relationships/hyperlink" Target="https://docs.sglang.ai/supported_models/multimodal_language_models.html" TargetMode="External"/><Relationship Id="rId5" Type="http://schemas.openxmlformats.org/officeDocument/2006/relationships/hyperlink" Target="https://github.com/sgl-project/sglang/issues?q=qwen2.5-vl" TargetMode="External"/><Relationship Id="rId6" Type="http://schemas.openxmlformats.org/officeDocument/2006/relationships/hyperlink" Target="https://github.com/sgl-project/sglang/issues?q=is%3Aissue+roadmap" TargetMode="External"/><Relationship Id="rId7" Type="http://schemas.openxmlformats.org/officeDocument/2006/relationships/hyperlink" Target="https://github.com/vllm-project/vllm/issues?q=is%3Aissue+roadmap" TargetMode="External"/><Relationship Id="rId8" Type="http://schemas.openxmlformats.org/officeDocument/2006/relationships/hyperlink" Target="https://huggingface.co/Qwen/Qwen2.5-VL-3B-Instruct" TargetMode="External"/><Relationship Id="rId9" Type="http://schemas.openxmlformats.org/officeDocument/2006/relationships/hyperlink" Target="https://arxiv.org/abs/2502.13923" TargetMode="External"/><Relationship Id="rId10" Type="http://schemas.openxmlformats.org/officeDocument/2006/relationships/hyperlink" Target="https://huggingface.co/docs/transformers/model_doc/qwen2_5_vl" TargetMode="External"/><Relationship Id="rId11" Type="http://schemas.openxmlformats.org/officeDocument/2006/relationships/hyperlink" Target="https://docs.pytorch.org/docs/stable/notes/randomness.html" TargetMode="External"/><Relationship Id="rId12" Type="http://schemas.openxmlformats.org/officeDocument/2006/relationships/hyperlink" Target="https://docs.pytorch.org/tutorials/recipes/recipes/profiler_recipe.html" TargetMode="External"/><Relationship Id="rId13" Type="http://schemas.openxmlformats.org/officeDocument/2006/relationships/hyperlink" Target="https://docs.pytorch.org/docs/stable/notes/cuda.html" TargetMode="External"/><Relationship Id="rId14" Type="http://schemas.openxmlformats.org/officeDocument/2006/relationships/hyperlink" Target="https://dl.acm.org/doi/10.1145/1498765.1498785" TargetMode="External"/><Relationship Id="rId15" Type="http://schemas.openxmlformats.org/officeDocument/2006/relationships/hyperlink" Target="https://docs.pytorch.org/docs/stable/notes/amp_examples.html" TargetMode="External"/><Relationship Id="rId16" Type="http://schemas.openxmlformats.org/officeDocument/2006/relationships/hyperlink" Target="https://docs.pytorch.org/tutorials/intermediate/torch_compile_tutorial.html" TargetMode="External"/><Relationship Id="rId17" Type="http://schemas.openxmlformats.org/officeDocument/2006/relationships/hyperlink" Target="https://docs.pytorch.org/docs/stable/generated/torch.nn.functional.scaled_dot_product_attention.html" TargetMode="External"/><Relationship Id="rId18" Type="http://schemas.openxmlformats.org/officeDocument/2006/relationships/hyperlink" Target="https://docs.scipy.org/doc/scipy/reference/generated/scipy.stats.bootstrap.html" TargetMode="External"/><Relationship Id="rId19" Type="http://schemas.openxmlformats.org/officeDocument/2006/relationships/hyperlink" Target="https://modal.com/docs/guide/gpu" TargetMode="External"/><Relationship Id="rId20" Type="http://schemas.openxmlformats.org/officeDocument/2006/relationships/hyperlink" Target="https://amazon-berkeley-objects.s3.amazonaws.com/index.html" TargetMode="External"/><Relationship Id="rId21" Type="http://schemas.openxmlformats.org/officeDocument/2006/relationships/hyperlink" Target="https://arxiv.org/abs/1803.09010" TargetMode="External"/><Relationship Id="rId22" Type="http://schemas.openxmlformats.org/officeDocument/2006/relationships/hyperlink" Target="https://arxiv.org/abs/2303.15343" TargetMode="External"/><Relationship Id="rId23" Type="http://schemas.openxmlformats.org/officeDocument/2006/relationships/hyperlink" Target="https://github.com/mlfoundations/open_clip" TargetMode="External"/><Relationship Id="rId24" Type="http://schemas.openxmlformats.org/officeDocument/2006/relationships/hyperlink" Target="https://huggingface.co/docs/transformers/model_doc/siglip" TargetMode="External"/><Relationship Id="rId25" Type="http://schemas.openxmlformats.org/officeDocument/2006/relationships/hyperlink" Target="https://arxiv.org/abs/2106.09685" TargetMode="External"/><Relationship Id="rId26" Type="http://schemas.openxmlformats.org/officeDocument/2006/relationships/hyperlink" Target="https://arxiv.org/abs/1810.03993" TargetMode="External"/><Relationship Id="rId27" Type="http://schemas.openxmlformats.org/officeDocument/2006/relationships/hyperlink" Target="https://docs.pytorch.org/ao/stable/quantization_overview.html" TargetMode="External"/><Relationship Id="rId28" Type="http://schemas.openxmlformats.org/officeDocument/2006/relationships/hyperlink" Target="https://github.com/vllm-project/vllm/tree/main/benchmarks" TargetMode="External"/><Relationship Id="rId29" Type="http://schemas.openxmlformats.org/officeDocument/2006/relationships/hyperlink" Target="https://github.com/black-forest-labs/flux2" TargetMode="External"/><Relationship Id="rId30" Type="http://schemas.openxmlformats.org/officeDocument/2006/relationships/hyperlink" Target="https://huggingface.co/black-forest-labs/FLUX.2-klein-4B" TargetMode="External"/><Relationship Id="rId31" Type="http://schemas.openxmlformats.org/officeDocument/2006/relationships/hyperlink" Target="https://huggingface.co/black-forest-labs/FLUX.2-klein-base-4B" TargetMode="External"/><Relationship Id="rId32" Type="http://schemas.openxmlformats.org/officeDocument/2006/relationships/hyperlink" Target="https://huggingface.co/docs/diffusers/api/pipelines/flux2" TargetMode="External"/><Relationship Id="rId33" Type="http://schemas.openxmlformats.org/officeDocument/2006/relationships/hyperlink" Target="https://arxiv.org/abs/2212.09748" TargetMode="External"/><Relationship Id="rId34" Type="http://schemas.openxmlformats.org/officeDocument/2006/relationships/hyperlink" Target="https://arxiv.org/abs/2403.03206" TargetMode="External"/><Relationship Id="rId35" Type="http://schemas.openxmlformats.org/officeDocument/2006/relationships/hyperlink" Target="https://arxiv.org/abs/2210.02747" TargetMode="External"/><Relationship Id="rId36" Type="http://schemas.openxmlformats.org/officeDocument/2006/relationships/hyperlink" Target="https://arxiv.org/abs/2207.12598" TargetMode="External"/><Relationship Id="rId37" Type="http://schemas.openxmlformats.org/officeDocument/2006/relationships/hyperlink" Target="https://docs.nvidia.com/cuda/cuda-c-programming-guide/index.html" TargetMode="External"/><Relationship Id="rId38" Type="http://schemas.openxmlformats.org/officeDocument/2006/relationships/hyperlink" Target="https://docs.nvidia.com/cuda/cuda-c-best-practices-guide/index.html" TargetMode="External"/><Relationship Id="rId39" Type="http://schemas.openxmlformats.org/officeDocument/2006/relationships/hyperlink" Target="https://docs.pytorch.org/docs/stable/cpp_extension.html" TargetMode="External"/><Relationship Id="rId40" Type="http://schemas.openxmlformats.org/officeDocument/2006/relationships/hyperlink" Target="https://triton-lang.org/main/getting-started/tutorials/01-vector-add.html" TargetMode="External"/><Relationship Id="rId41" Type="http://schemas.openxmlformats.org/officeDocument/2006/relationships/hyperlink" Target="https://triton-lang.org/main/getting-started/tutorials/02-fused-softmax.html" TargetMode="External"/><Relationship Id="rId42" Type="http://schemas.openxmlformats.org/officeDocument/2006/relationships/hyperlink" Target="https://triton-lang.org/main/getting-started/tutorials/05-layer-norm.html" TargetMode="External"/><Relationship Id="rId43" Type="http://schemas.openxmlformats.org/officeDocument/2006/relationships/hyperlink" Target="https://triton-lang.org/main/programming-guide/chapter-3/debugging.html" TargetMode="External"/><Relationship Id="rId44" Type="http://schemas.openxmlformats.org/officeDocument/2006/relationships/hyperlink" Target="https://arxiv.org/abs/2205.14135" TargetMode="External"/><Relationship Id="rId45" Type="http://schemas.openxmlformats.org/officeDocument/2006/relationships/hyperlink" Target="https://docs.pytorch.org/tutorials/advanced/python_custom_ops.html" TargetMode="External"/><Relationship Id="rId46" Type="http://schemas.openxmlformats.org/officeDocument/2006/relationships/hyperlink" Target="https://docs.pytorch.org/docs/stable/torch.compiler_troubleshooting.html" TargetMode="External"/><Relationship Id="rId47" Type="http://schemas.openxmlformats.org/officeDocument/2006/relationships/hyperlink" Target="https://pytorch.org/tutorials/beginner/dist_overview.html" TargetMode="External"/><Relationship Id="rId48" Type="http://schemas.openxmlformats.org/officeDocument/2006/relationships/hyperlink" Target="https://pytorch.org/tutorials/intermediate/ddp_tutorial.html" TargetMode="External"/><Relationship Id="rId49" Type="http://schemas.openxmlformats.org/officeDocument/2006/relationships/hyperlink" Target="https://docs.pytorch.org/tutorials/intermediate/FSDP_tutorial.html" TargetMode="External"/><Relationship Id="rId50" Type="http://schemas.openxmlformats.org/officeDocument/2006/relationships/hyperlink" Target="https://docs.vllm.ai/en/latest/contributing/index.html" TargetMode="External"/><Relationship Id="rId51" Type="http://schemas.openxmlformats.org/officeDocument/2006/relationships/hyperlink" Target="https://docs.sglang.ai/developer_guide/contribution_guide.html" TargetMode="External"/><Relationship Id="rId52" Type="http://schemas.openxmlformats.org/officeDocument/2006/relationships/hyperlink" Target="https://huggingface.co/blog/communit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1" width="12"/>
    <col collapsed="false" customWidth="true" hidden="false" outlineLevel="0" max="4" min="4" style="1" width="64"/>
    <col collapsed="false" customWidth="true" hidden="false" outlineLevel="0" max="5" min="5" style="1" width="30"/>
    <col collapsed="false" customWidth="true" hidden="false" outlineLevel="0" max="6" min="6" style="1" width="3"/>
    <col collapsed="false" customWidth="true" hidden="false" outlineLevel="0" max="7" min="7" style="1" width="18"/>
    <col collapsed="false" customWidth="true" hidden="false" outlineLevel="0" max="8" min="8" style="1" width="3"/>
    <col collapsed="false" customWidth="true" hidden="false" outlineLevel="0" max="9" min="9" style="1" width="72"/>
  </cols>
  <sheetData>
    <row r="1" customFormat="false" ht="17.35" hidden="false" customHeight="false" outlineLevel="0" collapsed="false">
      <c r="A1" s="2" t="s">
        <v>0</v>
      </c>
    </row>
    <row r="2" customFormat="false" ht="15" hidden="false" customHeight="false" outlineLevel="0" collapsed="false">
      <c r="A2" s="3" t="s">
        <v>1</v>
      </c>
    </row>
    <row r="4" customFormat="false" ht="43.5" hidden="false" customHeight="true" outlineLevel="0" collapsed="false">
      <c r="A4" s="4" t="s">
        <v>2</v>
      </c>
      <c r="B4" s="5" t="s">
        <v>3</v>
      </c>
      <c r="C4" s="5"/>
      <c r="D4" s="5"/>
      <c r="F4" s="4" t="s">
        <v>4</v>
      </c>
      <c r="G4" s="6" t="n">
        <f aca="false">SUM(Plan!B2:B74)</f>
        <v>331</v>
      </c>
      <c r="I4" s="4" t="s">
        <v>5</v>
      </c>
    </row>
    <row r="5" customFormat="false" ht="33.75" hidden="false" customHeight="true" outlineLevel="0" collapsed="false">
      <c r="A5" s="4" t="s">
        <v>6</v>
      </c>
      <c r="B5" s="5" t="s">
        <v>7</v>
      </c>
      <c r="C5" s="5"/>
      <c r="D5" s="5"/>
      <c r="F5" s="4" t="s">
        <v>8</v>
      </c>
      <c r="G5" s="6" t="n">
        <f aca="false">COUNTA(Plan!C2:C74)</f>
        <v>73</v>
      </c>
      <c r="I5" s="7" t="s">
        <v>9</v>
      </c>
    </row>
    <row r="6" customFormat="false" ht="33.75" hidden="false" customHeight="true" outlineLevel="0" collapsed="false">
      <c r="A6" s="4" t="s">
        <v>10</v>
      </c>
      <c r="B6" s="5" t="s">
        <v>11</v>
      </c>
      <c r="C6" s="5"/>
      <c r="D6" s="5"/>
      <c r="F6" s="4" t="s">
        <v>12</v>
      </c>
      <c r="G6" s="6" t="n">
        <f aca="false">COUNTIF(Plan!H2:H74,"Done")</f>
        <v>0</v>
      </c>
      <c r="I6" s="7" t="s">
        <v>13</v>
      </c>
    </row>
    <row r="7" customFormat="false" ht="33.75" hidden="false" customHeight="true" outlineLevel="0" collapsed="false">
      <c r="A7" s="4" t="s">
        <v>14</v>
      </c>
      <c r="B7" s="5" t="s">
        <v>15</v>
      </c>
      <c r="C7" s="5"/>
      <c r="D7" s="5"/>
      <c r="F7" s="4" t="s">
        <v>16</v>
      </c>
      <c r="G7" s="6" t="n">
        <f aca="false">SUMIF(Plan!H2:H74,"Done",Plan!B2:B74)</f>
        <v>0</v>
      </c>
      <c r="I7" s="7" t="s">
        <v>17</v>
      </c>
    </row>
    <row r="8" customFormat="false" ht="33.75" hidden="false" customHeight="true" outlineLevel="0" collapsed="false">
      <c r="A8" s="4" t="s">
        <v>18</v>
      </c>
      <c r="B8" s="5" t="s">
        <v>19</v>
      </c>
      <c r="C8" s="5"/>
      <c r="D8" s="5"/>
      <c r="F8" s="4" t="s">
        <v>20</v>
      </c>
      <c r="G8" s="8" t="n">
        <f aca="false">IF(G4=0,0,G7/G4)</f>
        <v>0</v>
      </c>
      <c r="I8" s="7" t="s">
        <v>21</v>
      </c>
    </row>
    <row r="9" customFormat="false" ht="33.75" hidden="false" customHeight="true" outlineLevel="0" collapsed="false">
      <c r="A9" s="4" t="s">
        <v>22</v>
      </c>
      <c r="B9" s="5" t="s">
        <v>23</v>
      </c>
      <c r="C9" s="5"/>
      <c r="D9" s="5"/>
      <c r="F9" s="4" t="s">
        <v>24</v>
      </c>
      <c r="G9" s="9" t="n">
        <v>0</v>
      </c>
      <c r="I9" s="7" t="s">
        <v>25</v>
      </c>
    </row>
    <row r="10" customFormat="false" ht="33.75" hidden="false" customHeight="true" outlineLevel="0" collapsed="false">
      <c r="A10" s="4" t="s">
        <v>26</v>
      </c>
      <c r="B10" s="5" t="s">
        <v>27</v>
      </c>
      <c r="C10" s="5"/>
      <c r="D10" s="5"/>
      <c r="F10" s="4" t="s">
        <v>28</v>
      </c>
      <c r="G10" s="9" t="n">
        <v>150</v>
      </c>
      <c r="I10" s="7" t="s">
        <v>29</v>
      </c>
    </row>
    <row r="11" customFormat="false" ht="33.75" hidden="false" customHeight="true" outlineLevel="0" collapsed="false">
      <c r="F11" s="4" t="s">
        <v>30</v>
      </c>
      <c r="G11" s="6" t="n">
        <f aca="false">G10-G9</f>
        <v>150</v>
      </c>
      <c r="I11" s="7" t="s">
        <v>31</v>
      </c>
    </row>
    <row r="12" customFormat="false" ht="33.75" hidden="false" customHeight="true" outlineLevel="0" collapsed="false">
      <c r="F12" s="10" t="s">
        <v>32</v>
      </c>
      <c r="I12" s="7" t="s">
        <v>33</v>
      </c>
    </row>
    <row r="13" customFormat="false" ht="33.75" hidden="false" customHeight="true" outlineLevel="0" collapsed="false">
      <c r="I13" s="7" t="s">
        <v>34</v>
      </c>
    </row>
    <row r="14" customFormat="false" ht="26.85" hidden="false" customHeight="false" outlineLevel="0" collapsed="false">
      <c r="A14" s="11" t="s">
        <v>35</v>
      </c>
      <c r="B14" s="11" t="s">
        <v>4</v>
      </c>
      <c r="C14" s="11" t="s">
        <v>36</v>
      </c>
      <c r="D14" s="11" t="s">
        <v>37</v>
      </c>
      <c r="E14" s="11" t="s">
        <v>38</v>
      </c>
    </row>
    <row r="15" customFormat="false" ht="30" hidden="false" customHeight="true" outlineLevel="0" collapsed="false">
      <c r="A15" s="12" t="s">
        <v>39</v>
      </c>
      <c r="B15" s="12" t="n">
        <f aca="false">SUMIF(Plan!$A$2:$A$74,A15,Plan!$B$2:$B$74)</f>
        <v>21</v>
      </c>
      <c r="C15" s="12" t="n">
        <f aca="false">SUMIFS(Plan!$B$2:$B$74,Plan!$A$2:$A$74,A15,Plan!$H$2:$H$74,"Done")</f>
        <v>0</v>
      </c>
      <c r="D15" s="12" t="s">
        <v>40</v>
      </c>
      <c r="E15" s="12"/>
    </row>
    <row r="16" customFormat="false" ht="30" hidden="false" customHeight="true" outlineLevel="0" collapsed="false">
      <c r="A16" s="13" t="s">
        <v>41</v>
      </c>
      <c r="B16" s="13" t="n">
        <f aca="false">SUMIF(Plan!$A$2:$A$74,A16,Plan!$B$2:$B$74)</f>
        <v>24</v>
      </c>
      <c r="C16" s="13" t="n">
        <f aca="false">SUMIFS(Plan!$B$2:$B$74,Plan!$A$2:$A$74,A16,Plan!$H$2:$H$74,"Done")</f>
        <v>0</v>
      </c>
      <c r="D16" s="13" t="s">
        <v>42</v>
      </c>
      <c r="E16" s="13" t="s">
        <v>43</v>
      </c>
    </row>
    <row r="17" customFormat="false" ht="30" hidden="false" customHeight="true" outlineLevel="0" collapsed="false">
      <c r="A17" s="13" t="s">
        <v>44</v>
      </c>
      <c r="B17" s="13" t="n">
        <f aca="false">SUMIF(Plan!$A$2:$A$74,A17,Plan!$B$2:$B$74)</f>
        <v>22</v>
      </c>
      <c r="C17" s="13" t="n">
        <f aca="false">SUMIFS(Plan!$B$2:$B$74,Plan!$A$2:$A$74,A17,Plan!$H$2:$H$74,"Done")</f>
        <v>0</v>
      </c>
      <c r="D17" s="13" t="s">
        <v>45</v>
      </c>
      <c r="E17" s="13" t="s">
        <v>46</v>
      </c>
    </row>
    <row r="18" customFormat="false" ht="30" hidden="false" customHeight="true" outlineLevel="0" collapsed="false">
      <c r="A18" s="13" t="s">
        <v>47</v>
      </c>
      <c r="B18" s="13" t="n">
        <f aca="false">SUMIF(Plan!$A$2:$A$74,A18,Plan!$B$2:$B$74)</f>
        <v>22</v>
      </c>
      <c r="C18" s="13" t="n">
        <f aca="false">SUMIFS(Plan!$B$2:$B$74,Plan!$A$2:$A$74,A18,Plan!$H$2:$H$74,"Done")</f>
        <v>0</v>
      </c>
      <c r="D18" s="13" t="s">
        <v>48</v>
      </c>
      <c r="E18" s="13" t="s">
        <v>49</v>
      </c>
    </row>
    <row r="19" customFormat="false" ht="30" hidden="false" customHeight="true" outlineLevel="0" collapsed="false">
      <c r="A19" s="12" t="s">
        <v>50</v>
      </c>
      <c r="B19" s="12" t="n">
        <f aca="false">SUMIF(Plan!$A$2:$A$74,A19,Plan!$B$2:$B$74)</f>
        <v>22</v>
      </c>
      <c r="C19" s="12" t="n">
        <f aca="false">SUMIFS(Plan!$B$2:$B$74,Plan!$A$2:$A$74,A19,Plan!$H$2:$H$74,"Done")</f>
        <v>0</v>
      </c>
      <c r="D19" s="12" t="s">
        <v>51</v>
      </c>
      <c r="E19" s="12"/>
    </row>
    <row r="20" customFormat="false" ht="30" hidden="false" customHeight="true" outlineLevel="0" collapsed="false">
      <c r="A20" s="13" t="s">
        <v>52</v>
      </c>
      <c r="B20" s="13" t="n">
        <f aca="false">SUMIF(Plan!$A$2:$A$74,A20,Plan!$B$2:$B$74)</f>
        <v>22</v>
      </c>
      <c r="C20" s="13" t="n">
        <f aca="false">SUMIFS(Plan!$B$2:$B$74,Plan!$A$2:$A$74,A20,Plan!$H$2:$H$74,"Done")</f>
        <v>0</v>
      </c>
      <c r="D20" s="13" t="s">
        <v>53</v>
      </c>
      <c r="E20" s="13" t="s">
        <v>54</v>
      </c>
    </row>
    <row r="21" customFormat="false" ht="30" hidden="false" customHeight="true" outlineLevel="0" collapsed="false">
      <c r="A21" s="12" t="s">
        <v>55</v>
      </c>
      <c r="B21" s="12" t="n">
        <f aca="false">SUMIF(Plan!$A$2:$A$74,A21,Plan!$B$2:$B$74)</f>
        <v>32</v>
      </c>
      <c r="C21" s="12" t="n">
        <f aca="false">SUMIFS(Plan!$B$2:$B$74,Plan!$A$2:$A$74,A21,Plan!$H$2:$H$74,"Done")</f>
        <v>0</v>
      </c>
      <c r="D21" s="12" t="s">
        <v>56</v>
      </c>
      <c r="E21" s="12"/>
    </row>
    <row r="22" customFormat="false" ht="30" hidden="false" customHeight="true" outlineLevel="0" collapsed="false">
      <c r="A22" s="12" t="s">
        <v>57</v>
      </c>
      <c r="B22" s="12" t="n">
        <f aca="false">SUMIF(Plan!$A$2:$A$74,A22,Plan!$B$2:$B$74)</f>
        <v>22</v>
      </c>
      <c r="C22" s="12" t="n">
        <f aca="false">SUMIFS(Plan!$B$2:$B$74,Plan!$A$2:$A$74,A22,Plan!$H$2:$H$74,"Done")</f>
        <v>0</v>
      </c>
      <c r="D22" s="12" t="s">
        <v>58</v>
      </c>
      <c r="E22" s="12"/>
    </row>
    <row r="23" customFormat="false" ht="30" hidden="false" customHeight="true" outlineLevel="0" collapsed="false">
      <c r="A23" s="12" t="s">
        <v>59</v>
      </c>
      <c r="B23" s="12" t="n">
        <f aca="false">SUMIF(Plan!$A$2:$A$74,A23,Plan!$B$2:$B$74)</f>
        <v>22</v>
      </c>
      <c r="C23" s="12" t="n">
        <f aca="false">SUMIFS(Plan!$B$2:$B$74,Plan!$A$2:$A$74,A23,Plan!$H$2:$H$74,"Done")</f>
        <v>0</v>
      </c>
      <c r="D23" s="12" t="s">
        <v>60</v>
      </c>
      <c r="E23" s="12"/>
    </row>
    <row r="24" customFormat="false" ht="30" hidden="false" customHeight="true" outlineLevel="0" collapsed="false">
      <c r="A24" s="13" t="s">
        <v>61</v>
      </c>
      <c r="B24" s="13" t="n">
        <f aca="false">SUMIF(Plan!$A$2:$A$74,A24,Plan!$B$2:$B$74)</f>
        <v>22</v>
      </c>
      <c r="C24" s="13" t="n">
        <f aca="false">SUMIFS(Plan!$B$2:$B$74,Plan!$A$2:$A$74,A24,Plan!$H$2:$H$74,"Done")</f>
        <v>0</v>
      </c>
      <c r="D24" s="13" t="s">
        <v>62</v>
      </c>
      <c r="E24" s="13" t="s">
        <v>63</v>
      </c>
    </row>
    <row r="25" customFormat="false" ht="30" hidden="false" customHeight="true" outlineLevel="0" collapsed="false">
      <c r="A25" s="12" t="s">
        <v>64</v>
      </c>
      <c r="B25" s="12" t="n">
        <f aca="false">SUMIF(Plan!$A$2:$A$74,A25,Plan!$B$2:$B$74)</f>
        <v>22</v>
      </c>
      <c r="C25" s="12" t="n">
        <f aca="false">SUMIFS(Plan!$B$2:$B$74,Plan!$A$2:$A$74,A25,Plan!$H$2:$H$74,"Done")</f>
        <v>0</v>
      </c>
      <c r="D25" s="12" t="s">
        <v>65</v>
      </c>
      <c r="E25" s="12"/>
    </row>
    <row r="26" customFormat="false" ht="30" hidden="false" customHeight="true" outlineLevel="0" collapsed="false">
      <c r="A26" s="13" t="s">
        <v>66</v>
      </c>
      <c r="B26" s="13" t="n">
        <f aca="false">SUMIF(Plan!$A$2:$A$74,A26,Plan!$B$2:$B$74)</f>
        <v>22</v>
      </c>
      <c r="C26" s="13" t="n">
        <f aca="false">SUMIFS(Plan!$B$2:$B$74,Plan!$A$2:$A$74,A26,Plan!$H$2:$H$74,"Done")</f>
        <v>0</v>
      </c>
      <c r="D26" s="13" t="s">
        <v>67</v>
      </c>
      <c r="E26" s="13" t="s">
        <v>68</v>
      </c>
    </row>
    <row r="27" customFormat="false" ht="30" hidden="false" customHeight="true" outlineLevel="0" collapsed="false">
      <c r="A27" s="12" t="s">
        <v>69</v>
      </c>
      <c r="B27" s="12" t="n">
        <f aca="false">SUMIF(Plan!$A$2:$A$74,A27,Plan!$B$2:$B$74)</f>
        <v>22</v>
      </c>
      <c r="C27" s="12" t="n">
        <f aca="false">SUMIFS(Plan!$B$2:$B$74,Plan!$A$2:$A$74,A27,Plan!$H$2:$H$74,"Done")</f>
        <v>0</v>
      </c>
      <c r="D27" s="12" t="s">
        <v>70</v>
      </c>
      <c r="E27" s="12"/>
    </row>
    <row r="28" customFormat="false" ht="30" hidden="false" customHeight="true" outlineLevel="0" collapsed="false">
      <c r="A28" s="12" t="s">
        <v>71</v>
      </c>
      <c r="B28" s="12" t="n">
        <f aca="false">SUMIF(Plan!$A$2:$A$74,A28,Plan!$B$2:$B$74)</f>
        <v>20</v>
      </c>
      <c r="C28" s="12" t="n">
        <f aca="false">SUMIFS(Plan!$B$2:$B$74,Plan!$A$2:$A$74,A28,Plan!$H$2:$H$74,"Done")</f>
        <v>0</v>
      </c>
      <c r="D28" s="12" t="s">
        <v>72</v>
      </c>
      <c r="E28" s="12"/>
    </row>
    <row r="29" customFormat="false" ht="30" hidden="false" customHeight="true" outlineLevel="0" collapsed="false">
      <c r="A29" s="13" t="s">
        <v>73</v>
      </c>
      <c r="B29" s="13" t="n">
        <f aca="false">SUMIF(Plan!$A$2:$A$74,A29,Plan!$B$2:$B$74)</f>
        <v>14</v>
      </c>
      <c r="C29" s="13" t="n">
        <f aca="false">SUMIFS(Plan!$B$2:$B$74,Plan!$A$2:$A$74,A29,Plan!$H$2:$H$74,"Done")</f>
        <v>0</v>
      </c>
      <c r="D29" s="13" t="s">
        <v>74</v>
      </c>
      <c r="E29" s="13" t="s">
        <v>75</v>
      </c>
    </row>
    <row r="30" customFormat="false" ht="15" hidden="false" customHeight="false" outlineLevel="0" collapsed="false">
      <c r="A30" s="14" t="s">
        <v>76</v>
      </c>
      <c r="B30" s="14" t="n">
        <f aca="false">SUM(B15:B29)</f>
        <v>331</v>
      </c>
      <c r="C30" s="14" t="n">
        <f aca="false">SUM(C15:C29)</f>
        <v>0</v>
      </c>
      <c r="D30" s="15" t="s">
        <v>77</v>
      </c>
      <c r="E30" s="16"/>
    </row>
  </sheetData>
  <mergeCells count="7">
    <mergeCell ref="B4:D4"/>
    <mergeCell ref="B5:D5"/>
    <mergeCell ref="B6:D6"/>
    <mergeCell ref="B7:D7"/>
    <mergeCell ref="B8:D8"/>
    <mergeCell ref="B9:D9"/>
    <mergeCell ref="B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7"/>
    <col collapsed="false" customWidth="true" hidden="false" outlineLevel="0" max="3" min="3" style="1" width="36"/>
    <col collapsed="false" customWidth="true" hidden="false" outlineLevel="0" max="4" min="4" style="1" width="46"/>
    <col collapsed="false" customWidth="true" hidden="false" outlineLevel="0" max="5" min="5" style="1" width="62"/>
    <col collapsed="false" customWidth="true" hidden="false" outlineLevel="0" max="6" min="6" style="1" width="46"/>
    <col collapsed="false" customWidth="true" hidden="false" outlineLevel="0" max="7" min="7" style="1" width="18"/>
    <col collapsed="false" customWidth="true" hidden="false" outlineLevel="0" max="8" min="8" style="1" width="13"/>
    <col collapsed="false" customWidth="true" hidden="false" outlineLevel="0" max="9" min="9" style="1" width="24"/>
  </cols>
  <sheetData>
    <row r="1" customFormat="false" ht="26.85" hidden="false" customHeight="false" outlineLevel="0" collapsed="false">
      <c r="A1" s="17" t="s">
        <v>35</v>
      </c>
      <c r="B1" s="17" t="s">
        <v>78</v>
      </c>
      <c r="C1" s="17" t="s">
        <v>79</v>
      </c>
      <c r="D1" s="17" t="s">
        <v>80</v>
      </c>
      <c r="E1" s="17" t="s">
        <v>81</v>
      </c>
      <c r="F1" s="17" t="s">
        <v>82</v>
      </c>
      <c r="G1" s="17" t="s">
        <v>83</v>
      </c>
      <c r="H1" s="17" t="s">
        <v>84</v>
      </c>
      <c r="I1" s="17" t="s">
        <v>85</v>
      </c>
    </row>
    <row r="2" customFormat="false" ht="68.65" hidden="false" customHeight="false" outlineLevel="0" collapsed="false">
      <c r="A2" s="12" t="s">
        <v>39</v>
      </c>
      <c r="B2" s="12" t="n">
        <v>2</v>
      </c>
      <c r="C2" s="12" t="s">
        <v>86</v>
      </c>
      <c r="D2" s="12" t="s">
        <v>87</v>
      </c>
      <c r="E2" s="12" t="s">
        <v>88</v>
      </c>
      <c r="F2" s="12" t="s">
        <v>89</v>
      </c>
      <c r="G2" s="12" t="s">
        <v>90</v>
      </c>
      <c r="H2" s="12" t="s">
        <v>91</v>
      </c>
      <c r="I2" s="12"/>
    </row>
    <row r="3" customFormat="false" ht="68.65" hidden="false" customHeight="false" outlineLevel="0" collapsed="false">
      <c r="A3" s="12" t="s">
        <v>39</v>
      </c>
      <c r="B3" s="12" t="n">
        <v>3</v>
      </c>
      <c r="C3" s="12" t="s">
        <v>92</v>
      </c>
      <c r="D3" s="12" t="s">
        <v>93</v>
      </c>
      <c r="E3" s="12" t="s">
        <v>94</v>
      </c>
      <c r="F3" s="12" t="s">
        <v>95</v>
      </c>
      <c r="G3" s="12" t="s">
        <v>96</v>
      </c>
      <c r="H3" s="12" t="s">
        <v>91</v>
      </c>
      <c r="I3" s="12"/>
    </row>
    <row r="4" customFormat="false" ht="35.05" hidden="false" customHeight="false" outlineLevel="0" collapsed="false">
      <c r="A4" s="12" t="s">
        <v>39</v>
      </c>
      <c r="B4" s="12" t="n">
        <v>3</v>
      </c>
      <c r="C4" s="12" t="s">
        <v>97</v>
      </c>
      <c r="D4" s="12" t="s">
        <v>98</v>
      </c>
      <c r="E4" s="12" t="s">
        <v>99</v>
      </c>
      <c r="F4" s="12" t="s">
        <v>100</v>
      </c>
      <c r="G4" s="12" t="s">
        <v>96</v>
      </c>
      <c r="H4" s="12" t="s">
        <v>91</v>
      </c>
      <c r="I4" s="12"/>
    </row>
    <row r="5" customFormat="false" ht="46.25" hidden="false" customHeight="false" outlineLevel="0" collapsed="false">
      <c r="A5" s="12" t="s">
        <v>39</v>
      </c>
      <c r="B5" s="12" t="n">
        <v>6</v>
      </c>
      <c r="C5" s="12" t="s">
        <v>101</v>
      </c>
      <c r="D5" s="12" t="s">
        <v>102</v>
      </c>
      <c r="E5" s="12" t="s">
        <v>103</v>
      </c>
      <c r="F5" s="12" t="s">
        <v>104</v>
      </c>
      <c r="G5" s="12" t="s">
        <v>96</v>
      </c>
      <c r="H5" s="12" t="s">
        <v>91</v>
      </c>
      <c r="I5" s="12"/>
    </row>
    <row r="6" customFormat="false" ht="35.05" hidden="false" customHeight="false" outlineLevel="0" collapsed="false">
      <c r="A6" s="12" t="s">
        <v>39</v>
      </c>
      <c r="B6" s="12" t="n">
        <v>4</v>
      </c>
      <c r="C6" s="12" t="s">
        <v>105</v>
      </c>
      <c r="D6" s="12" t="s">
        <v>106</v>
      </c>
      <c r="E6" s="12" t="s">
        <v>107</v>
      </c>
      <c r="F6" s="12" t="s">
        <v>108</v>
      </c>
      <c r="G6" s="12" t="s">
        <v>96</v>
      </c>
      <c r="H6" s="12" t="s">
        <v>91</v>
      </c>
      <c r="I6" s="12"/>
    </row>
    <row r="7" customFormat="false" ht="35.05" hidden="false" customHeight="false" outlineLevel="0" collapsed="false">
      <c r="A7" s="12" t="s">
        <v>39</v>
      </c>
      <c r="B7" s="12" t="n">
        <v>3</v>
      </c>
      <c r="C7" s="12" t="s">
        <v>109</v>
      </c>
      <c r="D7" s="12" t="s">
        <v>110</v>
      </c>
      <c r="E7" s="12" t="s">
        <v>111</v>
      </c>
      <c r="F7" s="12" t="s">
        <v>112</v>
      </c>
      <c r="G7" s="12" t="s">
        <v>96</v>
      </c>
      <c r="H7" s="12" t="s">
        <v>91</v>
      </c>
      <c r="I7" s="12"/>
    </row>
    <row r="8" customFormat="false" ht="35.05" hidden="false" customHeight="false" outlineLevel="0" collapsed="false">
      <c r="A8" s="18" t="s">
        <v>41</v>
      </c>
      <c r="B8" s="18" t="n">
        <v>9</v>
      </c>
      <c r="C8" s="18" t="s">
        <v>113</v>
      </c>
      <c r="D8" s="18" t="s">
        <v>114</v>
      </c>
      <c r="E8" s="18" t="s">
        <v>115</v>
      </c>
      <c r="F8" s="18" t="s">
        <v>116</v>
      </c>
      <c r="G8" s="18" t="s">
        <v>96</v>
      </c>
      <c r="H8" s="18" t="s">
        <v>91</v>
      </c>
      <c r="I8" s="18"/>
    </row>
    <row r="9" customFormat="false" ht="46.25" hidden="false" customHeight="false" outlineLevel="0" collapsed="false">
      <c r="A9" s="18" t="s">
        <v>41</v>
      </c>
      <c r="B9" s="18" t="n">
        <v>4</v>
      </c>
      <c r="C9" s="18" t="s">
        <v>117</v>
      </c>
      <c r="D9" s="18" t="s">
        <v>118</v>
      </c>
      <c r="E9" s="18" t="s">
        <v>119</v>
      </c>
      <c r="F9" s="18" t="s">
        <v>120</v>
      </c>
      <c r="G9" s="18" t="s">
        <v>96</v>
      </c>
      <c r="H9" s="18" t="s">
        <v>91</v>
      </c>
      <c r="I9" s="18"/>
    </row>
    <row r="10" customFormat="false" ht="79.85" hidden="false" customHeight="false" outlineLevel="0" collapsed="false">
      <c r="A10" s="18" t="s">
        <v>41</v>
      </c>
      <c r="B10" s="18" t="n">
        <v>4</v>
      </c>
      <c r="C10" s="18" t="s">
        <v>121</v>
      </c>
      <c r="D10" s="18" t="s">
        <v>122</v>
      </c>
      <c r="E10" s="18" t="s">
        <v>123</v>
      </c>
      <c r="F10" s="18" t="s">
        <v>124</v>
      </c>
      <c r="G10" s="18" t="s">
        <v>96</v>
      </c>
      <c r="H10" s="18" t="s">
        <v>91</v>
      </c>
      <c r="I10" s="18"/>
    </row>
    <row r="11" customFormat="false" ht="68.65" hidden="false" customHeight="false" outlineLevel="0" collapsed="false">
      <c r="A11" s="18" t="s">
        <v>41</v>
      </c>
      <c r="B11" s="18" t="n">
        <v>4</v>
      </c>
      <c r="C11" s="18" t="s">
        <v>125</v>
      </c>
      <c r="D11" s="18" t="s">
        <v>126</v>
      </c>
      <c r="E11" s="18" t="s">
        <v>127</v>
      </c>
      <c r="F11" s="18" t="s">
        <v>128</v>
      </c>
      <c r="G11" s="18" t="s">
        <v>96</v>
      </c>
      <c r="H11" s="18" t="s">
        <v>91</v>
      </c>
      <c r="I11" s="18"/>
    </row>
    <row r="12" customFormat="false" ht="15" hidden="false" customHeight="false" outlineLevel="0" collapsed="false">
      <c r="A12" s="18" t="s">
        <v>41</v>
      </c>
      <c r="B12" s="18" t="n">
        <v>1</v>
      </c>
      <c r="C12" s="18" t="s">
        <v>129</v>
      </c>
      <c r="D12" s="18" t="s">
        <v>130</v>
      </c>
      <c r="E12" s="18" t="s">
        <v>131</v>
      </c>
      <c r="F12" s="18" t="s">
        <v>132</v>
      </c>
      <c r="G12" s="18" t="s">
        <v>133</v>
      </c>
      <c r="H12" s="18" t="s">
        <v>91</v>
      </c>
      <c r="I12" s="18"/>
    </row>
    <row r="13" customFormat="false" ht="46.25" hidden="false" customHeight="false" outlineLevel="0" collapsed="false">
      <c r="A13" s="18" t="s">
        <v>41</v>
      </c>
      <c r="B13" s="18" t="n">
        <v>2</v>
      </c>
      <c r="C13" s="18" t="s">
        <v>134</v>
      </c>
      <c r="D13" s="18" t="s">
        <v>135</v>
      </c>
      <c r="E13" s="18" t="s">
        <v>136</v>
      </c>
      <c r="F13" s="18" t="s">
        <v>137</v>
      </c>
      <c r="G13" s="18" t="s">
        <v>90</v>
      </c>
      <c r="H13" s="18" t="s">
        <v>91</v>
      </c>
      <c r="I13" s="18"/>
    </row>
    <row r="14" customFormat="false" ht="35.05" hidden="false" customHeight="false" outlineLevel="0" collapsed="false">
      <c r="A14" s="12" t="s">
        <v>44</v>
      </c>
      <c r="B14" s="12" t="n">
        <v>3</v>
      </c>
      <c r="C14" s="12" t="s">
        <v>138</v>
      </c>
      <c r="D14" s="12" t="s">
        <v>139</v>
      </c>
      <c r="E14" s="12" t="s">
        <v>140</v>
      </c>
      <c r="F14" s="12" t="s">
        <v>141</v>
      </c>
      <c r="G14" s="12" t="s">
        <v>90</v>
      </c>
      <c r="H14" s="12" t="s">
        <v>91</v>
      </c>
      <c r="I14" s="12"/>
    </row>
    <row r="15" customFormat="false" ht="46.25" hidden="false" customHeight="false" outlineLevel="0" collapsed="false">
      <c r="A15" s="12" t="s">
        <v>44</v>
      </c>
      <c r="B15" s="12" t="n">
        <v>7</v>
      </c>
      <c r="C15" s="12" t="s">
        <v>142</v>
      </c>
      <c r="D15" s="12" t="s">
        <v>143</v>
      </c>
      <c r="E15" s="12" t="s">
        <v>144</v>
      </c>
      <c r="F15" s="12" t="s">
        <v>145</v>
      </c>
      <c r="G15" s="12" t="s">
        <v>96</v>
      </c>
      <c r="H15" s="12" t="s">
        <v>91</v>
      </c>
      <c r="I15" s="12"/>
    </row>
    <row r="16" customFormat="false" ht="35.05" hidden="false" customHeight="false" outlineLevel="0" collapsed="false">
      <c r="A16" s="12" t="s">
        <v>44</v>
      </c>
      <c r="B16" s="12" t="n">
        <v>4</v>
      </c>
      <c r="C16" s="12" t="s">
        <v>146</v>
      </c>
      <c r="D16" s="12" t="s">
        <v>147</v>
      </c>
      <c r="E16" s="12" t="s">
        <v>148</v>
      </c>
      <c r="F16" s="12" t="s">
        <v>149</v>
      </c>
      <c r="G16" s="12" t="s">
        <v>150</v>
      </c>
      <c r="H16" s="12" t="s">
        <v>91</v>
      </c>
      <c r="I16" s="12"/>
    </row>
    <row r="17" customFormat="false" ht="23.85" hidden="false" customHeight="false" outlineLevel="0" collapsed="false">
      <c r="A17" s="12" t="s">
        <v>44</v>
      </c>
      <c r="B17" s="12" t="n">
        <v>2</v>
      </c>
      <c r="C17" s="12" t="s">
        <v>151</v>
      </c>
      <c r="D17" s="12" t="s">
        <v>152</v>
      </c>
      <c r="E17" s="12" t="s">
        <v>153</v>
      </c>
      <c r="F17" s="12" t="s">
        <v>154</v>
      </c>
      <c r="G17" s="12" t="s">
        <v>96</v>
      </c>
      <c r="H17" s="12" t="s">
        <v>91</v>
      </c>
      <c r="I17" s="12"/>
    </row>
    <row r="18" customFormat="false" ht="23.85" hidden="false" customHeight="false" outlineLevel="0" collapsed="false">
      <c r="A18" s="12" t="s">
        <v>44</v>
      </c>
      <c r="B18" s="12" t="n">
        <v>6</v>
      </c>
      <c r="C18" s="12" t="s">
        <v>155</v>
      </c>
      <c r="D18" s="12" t="s">
        <v>156</v>
      </c>
      <c r="E18" s="12" t="s">
        <v>157</v>
      </c>
      <c r="F18" s="12" t="s">
        <v>158</v>
      </c>
      <c r="G18" s="12" t="s">
        <v>159</v>
      </c>
      <c r="H18" s="12" t="s">
        <v>91</v>
      </c>
      <c r="I18" s="12"/>
    </row>
    <row r="19" customFormat="false" ht="35.05" hidden="false" customHeight="false" outlineLevel="0" collapsed="false">
      <c r="A19" s="18" t="s">
        <v>47</v>
      </c>
      <c r="B19" s="18" t="n">
        <v>6</v>
      </c>
      <c r="C19" s="18" t="s">
        <v>160</v>
      </c>
      <c r="D19" s="18" t="s">
        <v>161</v>
      </c>
      <c r="E19" s="18" t="s">
        <v>162</v>
      </c>
      <c r="F19" s="18" t="s">
        <v>163</v>
      </c>
      <c r="G19" s="18" t="s">
        <v>164</v>
      </c>
      <c r="H19" s="18" t="s">
        <v>91</v>
      </c>
      <c r="I19" s="18"/>
    </row>
    <row r="20" customFormat="false" ht="35.05" hidden="false" customHeight="false" outlineLevel="0" collapsed="false">
      <c r="A20" s="18" t="s">
        <v>47</v>
      </c>
      <c r="B20" s="18" t="n">
        <v>4</v>
      </c>
      <c r="C20" s="18" t="s">
        <v>165</v>
      </c>
      <c r="D20" s="18" t="s">
        <v>166</v>
      </c>
      <c r="E20" s="18" t="s">
        <v>167</v>
      </c>
      <c r="F20" s="18" t="s">
        <v>168</v>
      </c>
      <c r="G20" s="18" t="s">
        <v>90</v>
      </c>
      <c r="H20" s="18" t="s">
        <v>91</v>
      </c>
      <c r="I20" s="18"/>
    </row>
    <row r="21" customFormat="false" ht="23.85" hidden="false" customHeight="false" outlineLevel="0" collapsed="false">
      <c r="A21" s="18" t="s">
        <v>47</v>
      </c>
      <c r="B21" s="18" t="n">
        <v>3</v>
      </c>
      <c r="C21" s="18" t="s">
        <v>169</v>
      </c>
      <c r="D21" s="18" t="s">
        <v>170</v>
      </c>
      <c r="E21" s="18" t="s">
        <v>171</v>
      </c>
      <c r="F21" s="18" t="s">
        <v>172</v>
      </c>
      <c r="G21" s="18" t="s">
        <v>133</v>
      </c>
      <c r="H21" s="18" t="s">
        <v>91</v>
      </c>
      <c r="I21" s="18"/>
    </row>
    <row r="22" customFormat="false" ht="23.85" hidden="false" customHeight="false" outlineLevel="0" collapsed="false">
      <c r="A22" s="18" t="s">
        <v>47</v>
      </c>
      <c r="B22" s="18" t="n">
        <v>6</v>
      </c>
      <c r="C22" s="18" t="s">
        <v>173</v>
      </c>
      <c r="D22" s="18" t="s">
        <v>174</v>
      </c>
      <c r="E22" s="18" t="s">
        <v>175</v>
      </c>
      <c r="F22" s="18" t="s">
        <v>176</v>
      </c>
      <c r="G22" s="18" t="s">
        <v>133</v>
      </c>
      <c r="H22" s="18" t="s">
        <v>91</v>
      </c>
      <c r="I22" s="18"/>
    </row>
    <row r="23" customFormat="false" ht="23.85" hidden="false" customHeight="false" outlineLevel="0" collapsed="false">
      <c r="A23" s="18" t="s">
        <v>47</v>
      </c>
      <c r="B23" s="18" t="n">
        <v>3</v>
      </c>
      <c r="C23" s="18" t="s">
        <v>177</v>
      </c>
      <c r="D23" s="18" t="s">
        <v>178</v>
      </c>
      <c r="E23" s="18" t="s">
        <v>179</v>
      </c>
      <c r="F23" s="18" t="s">
        <v>180</v>
      </c>
      <c r="G23" s="18" t="s">
        <v>90</v>
      </c>
      <c r="H23" s="18" t="s">
        <v>91</v>
      </c>
      <c r="I23" s="18"/>
    </row>
    <row r="24" customFormat="false" ht="57.45" hidden="false" customHeight="false" outlineLevel="0" collapsed="false">
      <c r="A24" s="12" t="s">
        <v>50</v>
      </c>
      <c r="B24" s="12" t="n">
        <v>3</v>
      </c>
      <c r="C24" s="12" t="s">
        <v>181</v>
      </c>
      <c r="D24" s="12" t="s">
        <v>182</v>
      </c>
      <c r="E24" s="12" t="s">
        <v>183</v>
      </c>
      <c r="F24" s="12" t="s">
        <v>184</v>
      </c>
      <c r="G24" s="12" t="s">
        <v>185</v>
      </c>
      <c r="H24" s="12" t="s">
        <v>91</v>
      </c>
      <c r="I24" s="12"/>
    </row>
    <row r="25" customFormat="false" ht="23.85" hidden="false" customHeight="false" outlineLevel="0" collapsed="false">
      <c r="A25" s="12" t="s">
        <v>50</v>
      </c>
      <c r="B25" s="12" t="n">
        <v>5</v>
      </c>
      <c r="C25" s="12" t="s">
        <v>186</v>
      </c>
      <c r="D25" s="12" t="s">
        <v>187</v>
      </c>
      <c r="E25" s="12" t="s">
        <v>188</v>
      </c>
      <c r="F25" s="12" t="s">
        <v>189</v>
      </c>
      <c r="G25" s="12" t="s">
        <v>96</v>
      </c>
      <c r="H25" s="12" t="s">
        <v>91</v>
      </c>
      <c r="I25" s="12"/>
    </row>
    <row r="26" customFormat="false" ht="23.85" hidden="false" customHeight="false" outlineLevel="0" collapsed="false">
      <c r="A26" s="12" t="s">
        <v>50</v>
      </c>
      <c r="B26" s="12" t="n">
        <v>4</v>
      </c>
      <c r="C26" s="12" t="s">
        <v>190</v>
      </c>
      <c r="D26" s="12" t="s">
        <v>191</v>
      </c>
      <c r="E26" s="12" t="s">
        <v>192</v>
      </c>
      <c r="F26" s="12" t="s">
        <v>193</v>
      </c>
      <c r="G26" s="12" t="s">
        <v>90</v>
      </c>
      <c r="H26" s="12" t="s">
        <v>91</v>
      </c>
      <c r="I26" s="12"/>
    </row>
    <row r="27" customFormat="false" ht="46.25" hidden="false" customHeight="false" outlineLevel="0" collapsed="false">
      <c r="A27" s="12" t="s">
        <v>50</v>
      </c>
      <c r="B27" s="12" t="n">
        <v>6</v>
      </c>
      <c r="C27" s="12" t="s">
        <v>194</v>
      </c>
      <c r="D27" s="12" t="s">
        <v>195</v>
      </c>
      <c r="E27" s="12" t="s">
        <v>196</v>
      </c>
      <c r="F27" s="12" t="s">
        <v>197</v>
      </c>
      <c r="G27" s="12" t="s">
        <v>96</v>
      </c>
      <c r="H27" s="12" t="s">
        <v>91</v>
      </c>
      <c r="I27" s="12"/>
    </row>
    <row r="28" customFormat="false" ht="15" hidden="false" customHeight="false" outlineLevel="0" collapsed="false">
      <c r="A28" s="12" t="s">
        <v>50</v>
      </c>
      <c r="B28" s="12" t="n">
        <v>2</v>
      </c>
      <c r="C28" s="12" t="s">
        <v>198</v>
      </c>
      <c r="D28" s="12" t="s">
        <v>199</v>
      </c>
      <c r="E28" s="12" t="s">
        <v>200</v>
      </c>
      <c r="F28" s="12" t="s">
        <v>201</v>
      </c>
      <c r="G28" s="12" t="s">
        <v>202</v>
      </c>
      <c r="H28" s="12" t="s">
        <v>91</v>
      </c>
      <c r="I28" s="12"/>
    </row>
    <row r="29" customFormat="false" ht="15" hidden="false" customHeight="false" outlineLevel="0" collapsed="false">
      <c r="A29" s="12" t="s">
        <v>50</v>
      </c>
      <c r="B29" s="12" t="n">
        <v>2</v>
      </c>
      <c r="C29" s="12" t="s">
        <v>203</v>
      </c>
      <c r="D29" s="12" t="s">
        <v>199</v>
      </c>
      <c r="E29" s="12" t="s">
        <v>204</v>
      </c>
      <c r="F29" s="12" t="s">
        <v>205</v>
      </c>
      <c r="G29" s="12" t="s">
        <v>90</v>
      </c>
      <c r="H29" s="12" t="s">
        <v>91</v>
      </c>
      <c r="I29" s="12"/>
    </row>
    <row r="30" customFormat="false" ht="35.05" hidden="false" customHeight="false" outlineLevel="0" collapsed="false">
      <c r="A30" s="18" t="s">
        <v>52</v>
      </c>
      <c r="B30" s="18" t="n">
        <v>6</v>
      </c>
      <c r="C30" s="18" t="s">
        <v>206</v>
      </c>
      <c r="D30" s="18" t="s">
        <v>207</v>
      </c>
      <c r="E30" s="18" t="s">
        <v>208</v>
      </c>
      <c r="F30" s="18" t="s">
        <v>209</v>
      </c>
      <c r="G30" s="18" t="s">
        <v>210</v>
      </c>
      <c r="H30" s="18" t="s">
        <v>91</v>
      </c>
      <c r="I30" s="18"/>
    </row>
    <row r="31" customFormat="false" ht="23.85" hidden="false" customHeight="false" outlineLevel="0" collapsed="false">
      <c r="A31" s="18" t="s">
        <v>52</v>
      </c>
      <c r="B31" s="18" t="n">
        <v>4</v>
      </c>
      <c r="C31" s="18" t="s">
        <v>211</v>
      </c>
      <c r="D31" s="18" t="s">
        <v>212</v>
      </c>
      <c r="E31" s="18" t="s">
        <v>213</v>
      </c>
      <c r="F31" s="18" t="s">
        <v>214</v>
      </c>
      <c r="G31" s="18" t="s">
        <v>90</v>
      </c>
      <c r="H31" s="18" t="s">
        <v>91</v>
      </c>
      <c r="I31" s="18"/>
    </row>
    <row r="32" customFormat="false" ht="35.05" hidden="false" customHeight="false" outlineLevel="0" collapsed="false">
      <c r="A32" s="18" t="s">
        <v>52</v>
      </c>
      <c r="B32" s="18" t="n">
        <v>4</v>
      </c>
      <c r="C32" s="18" t="s">
        <v>215</v>
      </c>
      <c r="D32" s="18" t="s">
        <v>216</v>
      </c>
      <c r="E32" s="18" t="s">
        <v>217</v>
      </c>
      <c r="F32" s="18" t="s">
        <v>218</v>
      </c>
      <c r="G32" s="18" t="s">
        <v>90</v>
      </c>
      <c r="H32" s="18" t="s">
        <v>91</v>
      </c>
      <c r="I32" s="18"/>
    </row>
    <row r="33" customFormat="false" ht="46.25" hidden="false" customHeight="false" outlineLevel="0" collapsed="false">
      <c r="A33" s="18" t="s">
        <v>52</v>
      </c>
      <c r="B33" s="18" t="n">
        <v>5</v>
      </c>
      <c r="C33" s="18" t="s">
        <v>219</v>
      </c>
      <c r="D33" s="18" t="s">
        <v>220</v>
      </c>
      <c r="E33" s="18" t="s">
        <v>221</v>
      </c>
      <c r="F33" s="18" t="s">
        <v>222</v>
      </c>
      <c r="G33" s="18" t="s">
        <v>223</v>
      </c>
      <c r="H33" s="18" t="s">
        <v>91</v>
      </c>
      <c r="I33" s="18"/>
    </row>
    <row r="34" customFormat="false" ht="15" hidden="false" customHeight="false" outlineLevel="0" collapsed="false">
      <c r="A34" s="18" t="s">
        <v>52</v>
      </c>
      <c r="B34" s="18" t="n">
        <v>3</v>
      </c>
      <c r="C34" s="18" t="s">
        <v>224</v>
      </c>
      <c r="D34" s="18" t="s">
        <v>199</v>
      </c>
      <c r="E34" s="18" t="s">
        <v>199</v>
      </c>
      <c r="F34" s="18" t="s">
        <v>199</v>
      </c>
      <c r="G34" s="18" t="s">
        <v>90</v>
      </c>
      <c r="H34" s="18" t="s">
        <v>91</v>
      </c>
      <c r="I34" s="18"/>
    </row>
    <row r="35" customFormat="false" ht="35.05" hidden="false" customHeight="false" outlineLevel="0" collapsed="false">
      <c r="A35" s="12" t="s">
        <v>55</v>
      </c>
      <c r="B35" s="12" t="n">
        <v>4</v>
      </c>
      <c r="C35" s="12" t="s">
        <v>225</v>
      </c>
      <c r="D35" s="12" t="s">
        <v>226</v>
      </c>
      <c r="E35" s="12" t="s">
        <v>227</v>
      </c>
      <c r="F35" s="12" t="s">
        <v>228</v>
      </c>
      <c r="G35" s="12" t="s">
        <v>96</v>
      </c>
      <c r="H35" s="12" t="s">
        <v>91</v>
      </c>
      <c r="I35" s="12"/>
    </row>
    <row r="36" customFormat="false" ht="23.85" hidden="false" customHeight="false" outlineLevel="0" collapsed="false">
      <c r="A36" s="12" t="s">
        <v>55</v>
      </c>
      <c r="B36" s="12" t="n">
        <v>5</v>
      </c>
      <c r="C36" s="12" t="s">
        <v>229</v>
      </c>
      <c r="D36" s="12" t="s">
        <v>230</v>
      </c>
      <c r="E36" s="12" t="s">
        <v>231</v>
      </c>
      <c r="F36" s="12" t="s">
        <v>232</v>
      </c>
      <c r="G36" s="12" t="s">
        <v>96</v>
      </c>
      <c r="H36" s="12" t="s">
        <v>91</v>
      </c>
      <c r="I36" s="12"/>
    </row>
    <row r="37" customFormat="false" ht="23.85" hidden="false" customHeight="false" outlineLevel="0" collapsed="false">
      <c r="A37" s="12" t="s">
        <v>55</v>
      </c>
      <c r="B37" s="12" t="n">
        <v>7</v>
      </c>
      <c r="C37" s="12" t="s">
        <v>233</v>
      </c>
      <c r="D37" s="12" t="s">
        <v>234</v>
      </c>
      <c r="E37" s="12" t="s">
        <v>235</v>
      </c>
      <c r="F37" s="12" t="s">
        <v>236</v>
      </c>
      <c r="G37" s="12" t="s">
        <v>96</v>
      </c>
      <c r="H37" s="12" t="s">
        <v>91</v>
      </c>
      <c r="I37" s="12"/>
    </row>
    <row r="38" customFormat="false" ht="23.85" hidden="false" customHeight="false" outlineLevel="0" collapsed="false">
      <c r="A38" s="12" t="s">
        <v>55</v>
      </c>
      <c r="B38" s="12" t="n">
        <v>3</v>
      </c>
      <c r="C38" s="12" t="s">
        <v>237</v>
      </c>
      <c r="D38" s="12" t="s">
        <v>238</v>
      </c>
      <c r="E38" s="12" t="s">
        <v>239</v>
      </c>
      <c r="F38" s="12" t="s">
        <v>240</v>
      </c>
      <c r="G38" s="12" t="s">
        <v>90</v>
      </c>
      <c r="H38" s="12" t="s">
        <v>91</v>
      </c>
      <c r="I38" s="12"/>
    </row>
    <row r="39" customFormat="false" ht="23.85" hidden="false" customHeight="false" outlineLevel="0" collapsed="false">
      <c r="A39" s="12" t="s">
        <v>55</v>
      </c>
      <c r="B39" s="12" t="n">
        <v>9</v>
      </c>
      <c r="C39" s="12" t="s">
        <v>241</v>
      </c>
      <c r="D39" s="12" t="s">
        <v>242</v>
      </c>
      <c r="E39" s="12" t="s">
        <v>243</v>
      </c>
      <c r="F39" s="12" t="s">
        <v>244</v>
      </c>
      <c r="G39" s="12" t="s">
        <v>96</v>
      </c>
      <c r="H39" s="12" t="s">
        <v>91</v>
      </c>
      <c r="I39" s="12"/>
    </row>
    <row r="40" customFormat="false" ht="23.85" hidden="false" customHeight="false" outlineLevel="0" collapsed="false">
      <c r="A40" s="12" t="s">
        <v>55</v>
      </c>
      <c r="B40" s="12" t="n">
        <v>4</v>
      </c>
      <c r="C40" s="12" t="s">
        <v>245</v>
      </c>
      <c r="D40" s="12" t="s">
        <v>199</v>
      </c>
      <c r="E40" s="12" t="s">
        <v>246</v>
      </c>
      <c r="F40" s="12" t="s">
        <v>199</v>
      </c>
      <c r="G40" s="12" t="s">
        <v>247</v>
      </c>
      <c r="H40" s="12" t="s">
        <v>91</v>
      </c>
      <c r="I40" s="12"/>
    </row>
    <row r="41" customFormat="false" ht="23.85" hidden="false" customHeight="false" outlineLevel="0" collapsed="false">
      <c r="A41" s="18" t="s">
        <v>57</v>
      </c>
      <c r="B41" s="18" t="n">
        <v>5</v>
      </c>
      <c r="C41" s="18" t="s">
        <v>248</v>
      </c>
      <c r="D41" s="18" t="s">
        <v>249</v>
      </c>
      <c r="E41" s="18" t="s">
        <v>250</v>
      </c>
      <c r="F41" s="18" t="s">
        <v>251</v>
      </c>
      <c r="G41" s="18" t="s">
        <v>210</v>
      </c>
      <c r="H41" s="18" t="s">
        <v>91</v>
      </c>
      <c r="I41" s="18"/>
    </row>
    <row r="42" customFormat="false" ht="23.85" hidden="false" customHeight="false" outlineLevel="0" collapsed="false">
      <c r="A42" s="18" t="s">
        <v>57</v>
      </c>
      <c r="B42" s="18" t="n">
        <v>5</v>
      </c>
      <c r="C42" s="18" t="s">
        <v>252</v>
      </c>
      <c r="D42" s="18" t="s">
        <v>253</v>
      </c>
      <c r="E42" s="18" t="s">
        <v>254</v>
      </c>
      <c r="F42" s="18" t="s">
        <v>255</v>
      </c>
      <c r="G42" s="18" t="s">
        <v>96</v>
      </c>
      <c r="H42" s="18" t="s">
        <v>91</v>
      </c>
      <c r="I42" s="18"/>
    </row>
    <row r="43" customFormat="false" ht="23.85" hidden="false" customHeight="false" outlineLevel="0" collapsed="false">
      <c r="A43" s="18" t="s">
        <v>57</v>
      </c>
      <c r="B43" s="18" t="n">
        <v>4</v>
      </c>
      <c r="C43" s="18" t="s">
        <v>256</v>
      </c>
      <c r="D43" s="18" t="s">
        <v>257</v>
      </c>
      <c r="E43" s="18" t="s">
        <v>258</v>
      </c>
      <c r="F43" s="18" t="s">
        <v>259</v>
      </c>
      <c r="G43" s="18" t="s">
        <v>90</v>
      </c>
      <c r="H43" s="18" t="s">
        <v>91</v>
      </c>
      <c r="I43" s="18"/>
    </row>
    <row r="44" customFormat="false" ht="23.85" hidden="false" customHeight="false" outlineLevel="0" collapsed="false">
      <c r="A44" s="18" t="s">
        <v>57</v>
      </c>
      <c r="B44" s="18" t="n">
        <v>6</v>
      </c>
      <c r="C44" s="18" t="s">
        <v>260</v>
      </c>
      <c r="D44" s="18" t="s">
        <v>261</v>
      </c>
      <c r="E44" s="18" t="s">
        <v>262</v>
      </c>
      <c r="F44" s="18" t="s">
        <v>263</v>
      </c>
      <c r="G44" s="18" t="s">
        <v>90</v>
      </c>
      <c r="H44" s="18" t="s">
        <v>91</v>
      </c>
      <c r="I44" s="18"/>
    </row>
    <row r="45" customFormat="false" ht="15" hidden="false" customHeight="false" outlineLevel="0" collapsed="false">
      <c r="A45" s="18" t="s">
        <v>57</v>
      </c>
      <c r="B45" s="18" t="n">
        <v>2</v>
      </c>
      <c r="C45" s="18" t="s">
        <v>264</v>
      </c>
      <c r="D45" s="18" t="s">
        <v>199</v>
      </c>
      <c r="E45" s="18" t="s">
        <v>199</v>
      </c>
      <c r="F45" s="18" t="s">
        <v>199</v>
      </c>
      <c r="G45" s="18" t="s">
        <v>90</v>
      </c>
      <c r="H45" s="18" t="s">
        <v>91</v>
      </c>
      <c r="I45" s="18"/>
    </row>
    <row r="46" customFormat="false" ht="23.85" hidden="false" customHeight="false" outlineLevel="0" collapsed="false">
      <c r="A46" s="12" t="s">
        <v>59</v>
      </c>
      <c r="B46" s="12" t="n">
        <v>14</v>
      </c>
      <c r="C46" s="12" t="s">
        <v>265</v>
      </c>
      <c r="D46" s="12" t="s">
        <v>266</v>
      </c>
      <c r="E46" s="12" t="s">
        <v>267</v>
      </c>
      <c r="F46" s="12" t="s">
        <v>268</v>
      </c>
      <c r="G46" s="12" t="s">
        <v>269</v>
      </c>
      <c r="H46" s="12" t="s">
        <v>91</v>
      </c>
      <c r="I46" s="12"/>
    </row>
    <row r="47" customFormat="false" ht="23.85" hidden="false" customHeight="false" outlineLevel="0" collapsed="false">
      <c r="A47" s="12" t="s">
        <v>59</v>
      </c>
      <c r="B47" s="12" t="n">
        <v>6</v>
      </c>
      <c r="C47" s="12" t="s">
        <v>270</v>
      </c>
      <c r="D47" s="12" t="s">
        <v>199</v>
      </c>
      <c r="E47" s="12" t="s">
        <v>271</v>
      </c>
      <c r="F47" s="12" t="s">
        <v>272</v>
      </c>
      <c r="G47" s="12" t="s">
        <v>96</v>
      </c>
      <c r="H47" s="12" t="s">
        <v>91</v>
      </c>
      <c r="I47" s="12"/>
    </row>
    <row r="48" customFormat="false" ht="15" hidden="false" customHeight="false" outlineLevel="0" collapsed="false">
      <c r="A48" s="12" t="s">
        <v>59</v>
      </c>
      <c r="B48" s="12" t="n">
        <v>2</v>
      </c>
      <c r="C48" s="12" t="s">
        <v>273</v>
      </c>
      <c r="D48" s="12" t="s">
        <v>199</v>
      </c>
      <c r="E48" s="12" t="s">
        <v>199</v>
      </c>
      <c r="F48" s="12" t="s">
        <v>199</v>
      </c>
      <c r="G48" s="12" t="s">
        <v>90</v>
      </c>
      <c r="H48" s="12" t="s">
        <v>91</v>
      </c>
      <c r="I48" s="12"/>
    </row>
    <row r="49" customFormat="false" ht="23.85" hidden="false" customHeight="false" outlineLevel="0" collapsed="false">
      <c r="A49" s="18" t="s">
        <v>61</v>
      </c>
      <c r="B49" s="18" t="n">
        <v>10</v>
      </c>
      <c r="C49" s="18" t="s">
        <v>274</v>
      </c>
      <c r="D49" s="18" t="s">
        <v>275</v>
      </c>
      <c r="E49" s="18" t="s">
        <v>276</v>
      </c>
      <c r="F49" s="18" t="s">
        <v>277</v>
      </c>
      <c r="G49" s="18" t="s">
        <v>269</v>
      </c>
      <c r="H49" s="18" t="s">
        <v>91</v>
      </c>
      <c r="I49" s="18"/>
    </row>
    <row r="50" customFormat="false" ht="35.05" hidden="false" customHeight="false" outlineLevel="0" collapsed="false">
      <c r="A50" s="18" t="s">
        <v>61</v>
      </c>
      <c r="B50" s="18" t="n">
        <v>6</v>
      </c>
      <c r="C50" s="18" t="s">
        <v>278</v>
      </c>
      <c r="D50" s="18" t="s">
        <v>199</v>
      </c>
      <c r="E50" s="18" t="s">
        <v>279</v>
      </c>
      <c r="F50" s="18" t="s">
        <v>280</v>
      </c>
      <c r="G50" s="18" t="s">
        <v>90</v>
      </c>
      <c r="H50" s="18" t="s">
        <v>91</v>
      </c>
      <c r="I50" s="18"/>
    </row>
    <row r="51" customFormat="false" ht="23.85" hidden="false" customHeight="false" outlineLevel="0" collapsed="false">
      <c r="A51" s="18" t="s">
        <v>61</v>
      </c>
      <c r="B51" s="18" t="n">
        <v>4</v>
      </c>
      <c r="C51" s="18" t="s">
        <v>281</v>
      </c>
      <c r="D51" s="18" t="s">
        <v>199</v>
      </c>
      <c r="E51" s="18" t="s">
        <v>282</v>
      </c>
      <c r="F51" s="18" t="s">
        <v>283</v>
      </c>
      <c r="G51" s="18" t="s">
        <v>164</v>
      </c>
      <c r="H51" s="18" t="s">
        <v>91</v>
      </c>
      <c r="I51" s="18"/>
    </row>
    <row r="52" customFormat="false" ht="15" hidden="false" customHeight="false" outlineLevel="0" collapsed="false">
      <c r="A52" s="18" t="s">
        <v>61</v>
      </c>
      <c r="B52" s="18" t="n">
        <v>2</v>
      </c>
      <c r="C52" s="18" t="s">
        <v>284</v>
      </c>
      <c r="D52" s="18" t="s">
        <v>199</v>
      </c>
      <c r="E52" s="18" t="s">
        <v>199</v>
      </c>
      <c r="F52" s="18" t="s">
        <v>199</v>
      </c>
      <c r="G52" s="18" t="s">
        <v>90</v>
      </c>
      <c r="H52" s="18" t="s">
        <v>91</v>
      </c>
      <c r="I52" s="18"/>
    </row>
    <row r="53" customFormat="false" ht="23.85" hidden="false" customHeight="false" outlineLevel="0" collapsed="false">
      <c r="A53" s="12" t="s">
        <v>64</v>
      </c>
      <c r="B53" s="12" t="n">
        <v>6</v>
      </c>
      <c r="C53" s="12" t="s">
        <v>285</v>
      </c>
      <c r="D53" s="12" t="s">
        <v>286</v>
      </c>
      <c r="E53" s="12" t="s">
        <v>287</v>
      </c>
      <c r="F53" s="12" t="s">
        <v>288</v>
      </c>
      <c r="G53" s="12" t="s">
        <v>223</v>
      </c>
      <c r="H53" s="12" t="s">
        <v>91</v>
      </c>
      <c r="I53" s="12"/>
    </row>
    <row r="54" customFormat="false" ht="23.85" hidden="false" customHeight="false" outlineLevel="0" collapsed="false">
      <c r="A54" s="12" t="s">
        <v>64</v>
      </c>
      <c r="B54" s="12" t="n">
        <v>8</v>
      </c>
      <c r="C54" s="12" t="s">
        <v>289</v>
      </c>
      <c r="D54" s="12" t="s">
        <v>199</v>
      </c>
      <c r="E54" s="12" t="s">
        <v>290</v>
      </c>
      <c r="F54" s="12" t="s">
        <v>291</v>
      </c>
      <c r="G54" s="12" t="s">
        <v>164</v>
      </c>
      <c r="H54" s="12" t="s">
        <v>91</v>
      </c>
      <c r="I54" s="12"/>
    </row>
    <row r="55" customFormat="false" ht="15" hidden="false" customHeight="false" outlineLevel="0" collapsed="false">
      <c r="A55" s="12" t="s">
        <v>64</v>
      </c>
      <c r="B55" s="12" t="n">
        <v>4</v>
      </c>
      <c r="C55" s="12" t="s">
        <v>292</v>
      </c>
      <c r="D55" s="12" t="s">
        <v>199</v>
      </c>
      <c r="E55" s="12" t="s">
        <v>293</v>
      </c>
      <c r="F55" s="12" t="s">
        <v>294</v>
      </c>
      <c r="G55" s="12" t="s">
        <v>202</v>
      </c>
      <c r="H55" s="12" t="s">
        <v>91</v>
      </c>
      <c r="I55" s="12"/>
    </row>
    <row r="56" customFormat="false" ht="15" hidden="false" customHeight="false" outlineLevel="0" collapsed="false">
      <c r="A56" s="12" t="s">
        <v>64</v>
      </c>
      <c r="B56" s="12" t="n">
        <v>4</v>
      </c>
      <c r="C56" s="12" t="s">
        <v>295</v>
      </c>
      <c r="D56" s="12" t="s">
        <v>199</v>
      </c>
      <c r="E56" s="12" t="s">
        <v>296</v>
      </c>
      <c r="F56" s="12" t="s">
        <v>297</v>
      </c>
      <c r="G56" s="12" t="s">
        <v>90</v>
      </c>
      <c r="H56" s="12" t="s">
        <v>91</v>
      </c>
      <c r="I56" s="12"/>
    </row>
    <row r="57" customFormat="false" ht="23.85" hidden="false" customHeight="false" outlineLevel="0" collapsed="false">
      <c r="A57" s="18" t="s">
        <v>66</v>
      </c>
      <c r="B57" s="18" t="n">
        <v>3</v>
      </c>
      <c r="C57" s="18" t="s">
        <v>298</v>
      </c>
      <c r="D57" s="18" t="s">
        <v>299</v>
      </c>
      <c r="E57" s="18" t="s">
        <v>300</v>
      </c>
      <c r="F57" s="18" t="s">
        <v>301</v>
      </c>
      <c r="G57" s="18" t="s">
        <v>90</v>
      </c>
      <c r="H57" s="18" t="s">
        <v>91</v>
      </c>
      <c r="I57" s="18"/>
    </row>
    <row r="58" customFormat="false" ht="23.85" hidden="false" customHeight="false" outlineLevel="0" collapsed="false">
      <c r="A58" s="18" t="s">
        <v>66</v>
      </c>
      <c r="B58" s="18" t="n">
        <v>5</v>
      </c>
      <c r="C58" s="18" t="s">
        <v>302</v>
      </c>
      <c r="D58" s="18" t="s">
        <v>303</v>
      </c>
      <c r="E58" s="18" t="s">
        <v>304</v>
      </c>
      <c r="F58" s="18" t="s">
        <v>305</v>
      </c>
      <c r="G58" s="18" t="s">
        <v>306</v>
      </c>
      <c r="H58" s="18" t="s">
        <v>91</v>
      </c>
      <c r="I58" s="18"/>
    </row>
    <row r="59" customFormat="false" ht="23.85" hidden="false" customHeight="false" outlineLevel="0" collapsed="false">
      <c r="A59" s="18" t="s">
        <v>66</v>
      </c>
      <c r="B59" s="18" t="n">
        <v>6</v>
      </c>
      <c r="C59" s="18" t="s">
        <v>307</v>
      </c>
      <c r="D59" s="18" t="s">
        <v>308</v>
      </c>
      <c r="E59" s="18" t="s">
        <v>309</v>
      </c>
      <c r="F59" s="18" t="s">
        <v>310</v>
      </c>
      <c r="G59" s="18" t="s">
        <v>311</v>
      </c>
      <c r="H59" s="18" t="s">
        <v>91</v>
      </c>
      <c r="I59" s="18"/>
    </row>
    <row r="60" customFormat="false" ht="23.85" hidden="false" customHeight="false" outlineLevel="0" collapsed="false">
      <c r="A60" s="18" t="s">
        <v>66</v>
      </c>
      <c r="B60" s="18" t="n">
        <v>6</v>
      </c>
      <c r="C60" s="18" t="s">
        <v>312</v>
      </c>
      <c r="D60" s="18" t="s">
        <v>199</v>
      </c>
      <c r="E60" s="18" t="s">
        <v>313</v>
      </c>
      <c r="F60" s="18" t="s">
        <v>314</v>
      </c>
      <c r="G60" s="18" t="s">
        <v>90</v>
      </c>
      <c r="H60" s="18" t="s">
        <v>91</v>
      </c>
      <c r="I60" s="18"/>
    </row>
    <row r="61" customFormat="false" ht="15" hidden="false" customHeight="false" outlineLevel="0" collapsed="false">
      <c r="A61" s="18" t="s">
        <v>66</v>
      </c>
      <c r="B61" s="18" t="n">
        <v>2</v>
      </c>
      <c r="C61" s="18" t="s">
        <v>315</v>
      </c>
      <c r="D61" s="18" t="s">
        <v>199</v>
      </c>
      <c r="E61" s="18" t="s">
        <v>199</v>
      </c>
      <c r="F61" s="18" t="s">
        <v>199</v>
      </c>
      <c r="G61" s="18" t="s">
        <v>90</v>
      </c>
      <c r="H61" s="18" t="s">
        <v>91</v>
      </c>
      <c r="I61" s="18"/>
    </row>
    <row r="62" customFormat="false" ht="23.85" hidden="false" customHeight="false" outlineLevel="0" collapsed="false">
      <c r="A62" s="12" t="s">
        <v>69</v>
      </c>
      <c r="B62" s="12" t="n">
        <v>4</v>
      </c>
      <c r="C62" s="12" t="s">
        <v>316</v>
      </c>
      <c r="D62" s="12" t="s">
        <v>199</v>
      </c>
      <c r="E62" s="12" t="s">
        <v>317</v>
      </c>
      <c r="F62" s="12" t="s">
        <v>318</v>
      </c>
      <c r="G62" s="12" t="s">
        <v>223</v>
      </c>
      <c r="H62" s="12" t="s">
        <v>91</v>
      </c>
      <c r="I62" s="12"/>
    </row>
    <row r="63" customFormat="false" ht="23.85" hidden="false" customHeight="false" outlineLevel="0" collapsed="false">
      <c r="A63" s="12" t="s">
        <v>69</v>
      </c>
      <c r="B63" s="12" t="n">
        <v>4</v>
      </c>
      <c r="C63" s="12" t="s">
        <v>319</v>
      </c>
      <c r="D63" s="12" t="s">
        <v>320</v>
      </c>
      <c r="E63" s="12" t="s">
        <v>321</v>
      </c>
      <c r="F63" s="12" t="s">
        <v>322</v>
      </c>
      <c r="G63" s="12" t="s">
        <v>323</v>
      </c>
      <c r="H63" s="12" t="s">
        <v>91</v>
      </c>
      <c r="I63" s="12"/>
    </row>
    <row r="64" customFormat="false" ht="23.85" hidden="false" customHeight="false" outlineLevel="0" collapsed="false">
      <c r="A64" s="12" t="s">
        <v>69</v>
      </c>
      <c r="B64" s="12" t="n">
        <v>5</v>
      </c>
      <c r="C64" s="12" t="s">
        <v>324</v>
      </c>
      <c r="D64" s="12" t="s">
        <v>199</v>
      </c>
      <c r="E64" s="12" t="s">
        <v>325</v>
      </c>
      <c r="F64" s="12" t="s">
        <v>326</v>
      </c>
      <c r="G64" s="12" t="s">
        <v>96</v>
      </c>
      <c r="H64" s="12" t="s">
        <v>91</v>
      </c>
      <c r="I64" s="12"/>
    </row>
    <row r="65" customFormat="false" ht="15" hidden="false" customHeight="false" outlineLevel="0" collapsed="false">
      <c r="A65" s="12" t="s">
        <v>69</v>
      </c>
      <c r="B65" s="12" t="n">
        <v>4</v>
      </c>
      <c r="C65" s="12" t="s">
        <v>327</v>
      </c>
      <c r="D65" s="12" t="s">
        <v>199</v>
      </c>
      <c r="E65" s="12" t="s">
        <v>328</v>
      </c>
      <c r="F65" s="12" t="s">
        <v>329</v>
      </c>
      <c r="G65" s="12" t="s">
        <v>90</v>
      </c>
      <c r="H65" s="12" t="s">
        <v>91</v>
      </c>
      <c r="I65" s="12"/>
    </row>
    <row r="66" customFormat="false" ht="23.85" hidden="false" customHeight="false" outlineLevel="0" collapsed="false">
      <c r="A66" s="12" t="s">
        <v>69</v>
      </c>
      <c r="B66" s="12" t="n">
        <v>5</v>
      </c>
      <c r="C66" s="12" t="s">
        <v>330</v>
      </c>
      <c r="D66" s="12" t="s">
        <v>199</v>
      </c>
      <c r="E66" s="12" t="s">
        <v>331</v>
      </c>
      <c r="F66" s="12" t="s">
        <v>214</v>
      </c>
      <c r="G66" s="12" t="s">
        <v>90</v>
      </c>
      <c r="H66" s="12" t="s">
        <v>91</v>
      </c>
      <c r="I66" s="12"/>
    </row>
    <row r="67" customFormat="false" ht="23.85" hidden="false" customHeight="false" outlineLevel="0" collapsed="false">
      <c r="A67" s="18" t="s">
        <v>71</v>
      </c>
      <c r="B67" s="18" t="n">
        <v>7</v>
      </c>
      <c r="C67" s="18" t="s">
        <v>332</v>
      </c>
      <c r="D67" s="18" t="s">
        <v>333</v>
      </c>
      <c r="E67" s="18" t="s">
        <v>334</v>
      </c>
      <c r="F67" s="18" t="s">
        <v>335</v>
      </c>
      <c r="G67" s="18" t="s">
        <v>90</v>
      </c>
      <c r="H67" s="18" t="s">
        <v>91</v>
      </c>
      <c r="I67" s="18"/>
    </row>
    <row r="68" customFormat="false" ht="23.85" hidden="false" customHeight="false" outlineLevel="0" collapsed="false">
      <c r="A68" s="18" t="s">
        <v>71</v>
      </c>
      <c r="B68" s="18" t="n">
        <v>5</v>
      </c>
      <c r="C68" s="18" t="s">
        <v>336</v>
      </c>
      <c r="D68" s="18" t="s">
        <v>199</v>
      </c>
      <c r="E68" s="18" t="s">
        <v>337</v>
      </c>
      <c r="F68" s="18" t="s">
        <v>338</v>
      </c>
      <c r="G68" s="18" t="s">
        <v>90</v>
      </c>
      <c r="H68" s="18" t="s">
        <v>91</v>
      </c>
      <c r="I68" s="18"/>
    </row>
    <row r="69" customFormat="false" ht="15" hidden="false" customHeight="false" outlineLevel="0" collapsed="false">
      <c r="A69" s="18" t="s">
        <v>71</v>
      </c>
      <c r="B69" s="18" t="n">
        <v>6</v>
      </c>
      <c r="C69" s="18" t="s">
        <v>339</v>
      </c>
      <c r="D69" s="18" t="s">
        <v>199</v>
      </c>
      <c r="E69" s="18" t="s">
        <v>340</v>
      </c>
      <c r="F69" s="18" t="s">
        <v>341</v>
      </c>
      <c r="G69" s="18" t="s">
        <v>90</v>
      </c>
      <c r="H69" s="18" t="s">
        <v>91</v>
      </c>
      <c r="I69" s="18"/>
    </row>
    <row r="70" customFormat="false" ht="15" hidden="false" customHeight="false" outlineLevel="0" collapsed="false">
      <c r="A70" s="18" t="s">
        <v>71</v>
      </c>
      <c r="B70" s="18" t="n">
        <v>2</v>
      </c>
      <c r="C70" s="18" t="s">
        <v>342</v>
      </c>
      <c r="D70" s="18" t="s">
        <v>199</v>
      </c>
      <c r="E70" s="18" t="s">
        <v>199</v>
      </c>
      <c r="F70" s="18" t="s">
        <v>199</v>
      </c>
      <c r="G70" s="18" t="s">
        <v>90</v>
      </c>
      <c r="H70" s="18" t="s">
        <v>91</v>
      </c>
      <c r="I70" s="18"/>
    </row>
    <row r="71" customFormat="false" ht="15" hidden="false" customHeight="false" outlineLevel="0" collapsed="false">
      <c r="A71" s="12" t="s">
        <v>73</v>
      </c>
      <c r="B71" s="12" t="n">
        <v>4</v>
      </c>
      <c r="C71" s="12" t="s">
        <v>343</v>
      </c>
      <c r="D71" s="12" t="s">
        <v>199</v>
      </c>
      <c r="E71" s="12" t="s">
        <v>344</v>
      </c>
      <c r="F71" s="12" t="s">
        <v>345</v>
      </c>
      <c r="G71" s="12" t="s">
        <v>90</v>
      </c>
      <c r="H71" s="12" t="s">
        <v>91</v>
      </c>
      <c r="I71" s="12"/>
    </row>
    <row r="72" customFormat="false" ht="23.85" hidden="false" customHeight="false" outlineLevel="0" collapsed="false">
      <c r="A72" s="12" t="s">
        <v>73</v>
      </c>
      <c r="B72" s="12" t="n">
        <v>4</v>
      </c>
      <c r="C72" s="12" t="s">
        <v>346</v>
      </c>
      <c r="D72" s="12" t="s">
        <v>199</v>
      </c>
      <c r="E72" s="12" t="s">
        <v>347</v>
      </c>
      <c r="F72" s="12" t="s">
        <v>348</v>
      </c>
      <c r="G72" s="12" t="s">
        <v>90</v>
      </c>
      <c r="H72" s="12" t="s">
        <v>91</v>
      </c>
      <c r="I72" s="12"/>
    </row>
    <row r="73" customFormat="false" ht="23.85" hidden="false" customHeight="false" outlineLevel="0" collapsed="false">
      <c r="A73" s="12" t="s">
        <v>73</v>
      </c>
      <c r="B73" s="12" t="n">
        <v>3</v>
      </c>
      <c r="C73" s="12" t="s">
        <v>349</v>
      </c>
      <c r="D73" s="12" t="s">
        <v>199</v>
      </c>
      <c r="E73" s="12" t="s">
        <v>350</v>
      </c>
      <c r="F73" s="12" t="s">
        <v>351</v>
      </c>
      <c r="G73" s="12" t="s">
        <v>90</v>
      </c>
      <c r="H73" s="12" t="s">
        <v>91</v>
      </c>
      <c r="I73" s="12"/>
    </row>
    <row r="74" customFormat="false" ht="15" hidden="false" customHeight="false" outlineLevel="0" collapsed="false">
      <c r="A74" s="12" t="s">
        <v>73</v>
      </c>
      <c r="B74" s="12" t="n">
        <v>3</v>
      </c>
      <c r="C74" s="12" t="s">
        <v>352</v>
      </c>
      <c r="D74" s="12" t="s">
        <v>199</v>
      </c>
      <c r="E74" s="12" t="s">
        <v>199</v>
      </c>
      <c r="F74" s="12" t="s">
        <v>199</v>
      </c>
      <c r="G74" s="12" t="s">
        <v>247</v>
      </c>
      <c r="H74" s="12" t="s">
        <v>91</v>
      </c>
      <c r="I74" s="12"/>
    </row>
  </sheetData>
  <autoFilter ref="A1:I74"/>
  <dataValidations count="1">
    <dataValidation allowBlank="false" errorStyle="stop" operator="between" showDropDown="false" showErrorMessage="false" showInputMessage="false" sqref="H2:H74" type="list">
      <formula1>"Not Started,In Progress,Done,Skipped"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70"/>
    <col collapsed="false" customWidth="true" hidden="false" outlineLevel="0" max="3" min="3" style="1" width="44"/>
    <col collapsed="false" customWidth="true" hidden="false" outlineLevel="0" max="4" min="4" style="1" width="14"/>
  </cols>
  <sheetData>
    <row r="1" customFormat="false" ht="15" hidden="false" customHeight="false" outlineLevel="0" collapsed="false">
      <c r="A1" s="19" t="s">
        <v>353</v>
      </c>
      <c r="B1" s="19" t="s">
        <v>354</v>
      </c>
      <c r="C1" s="19" t="s">
        <v>355</v>
      </c>
      <c r="D1" s="19" t="s">
        <v>356</v>
      </c>
    </row>
    <row r="2" customFormat="false" ht="23.85" hidden="false" customHeight="false" outlineLevel="0" collapsed="false">
      <c r="A2" s="12" t="s">
        <v>357</v>
      </c>
      <c r="B2" s="12" t="s">
        <v>358</v>
      </c>
      <c r="C2" s="12" t="s">
        <v>359</v>
      </c>
      <c r="D2" s="12"/>
    </row>
    <row r="3" customFormat="false" ht="23.85" hidden="false" customHeight="false" outlineLevel="0" collapsed="false">
      <c r="A3" s="12" t="s">
        <v>360</v>
      </c>
      <c r="B3" s="12" t="s">
        <v>361</v>
      </c>
      <c r="C3" s="12" t="s">
        <v>362</v>
      </c>
      <c r="D3" s="12"/>
    </row>
    <row r="4" customFormat="false" ht="15" hidden="false" customHeight="false" outlineLevel="0" collapsed="false">
      <c r="A4" s="12" t="s">
        <v>363</v>
      </c>
      <c r="B4" s="12" t="s">
        <v>364</v>
      </c>
      <c r="C4" s="12" t="s">
        <v>365</v>
      </c>
      <c r="D4" s="12"/>
    </row>
    <row r="5" customFormat="false" ht="15" hidden="false" customHeight="false" outlineLevel="0" collapsed="false">
      <c r="A5" s="12" t="s">
        <v>366</v>
      </c>
      <c r="B5" s="12" t="s">
        <v>367</v>
      </c>
      <c r="C5" s="12" t="s">
        <v>368</v>
      </c>
      <c r="D5" s="12"/>
    </row>
    <row r="6" customFormat="false" ht="15" hidden="false" customHeight="false" outlineLevel="0" collapsed="false">
      <c r="A6" s="12" t="s">
        <v>369</v>
      </c>
      <c r="B6" s="12" t="s">
        <v>370</v>
      </c>
      <c r="C6" s="12" t="s">
        <v>371</v>
      </c>
      <c r="D6" s="12"/>
    </row>
    <row r="7" customFormat="false" ht="23.85" hidden="false" customHeight="false" outlineLevel="0" collapsed="false">
      <c r="A7" s="12" t="s">
        <v>372</v>
      </c>
      <c r="B7" s="12" t="s">
        <v>373</v>
      </c>
      <c r="C7" s="12" t="s">
        <v>374</v>
      </c>
      <c r="D7" s="12"/>
    </row>
    <row r="8" customFormat="false" ht="23.85" hidden="false" customHeight="false" outlineLevel="0" collapsed="false">
      <c r="A8" s="12" t="s">
        <v>375</v>
      </c>
      <c r="B8" s="12" t="s">
        <v>376</v>
      </c>
      <c r="C8" s="12" t="s">
        <v>377</v>
      </c>
      <c r="D8" s="12"/>
    </row>
    <row r="9" customFormat="false" ht="23.85" hidden="false" customHeight="false" outlineLevel="0" collapsed="false">
      <c r="A9" s="12" t="s">
        <v>378</v>
      </c>
      <c r="B9" s="12" t="s">
        <v>379</v>
      </c>
      <c r="C9" s="12" t="s">
        <v>380</v>
      </c>
      <c r="D9" s="12"/>
    </row>
    <row r="10" customFormat="false" ht="15" hidden="false" customHeight="false" outlineLevel="0" collapsed="false">
      <c r="A10" s="12" t="s">
        <v>381</v>
      </c>
      <c r="B10" s="12" t="s">
        <v>382</v>
      </c>
      <c r="C10" s="12" t="s">
        <v>383</v>
      </c>
      <c r="D10" s="12"/>
    </row>
    <row r="11" customFormat="false" ht="15" hidden="false" customHeight="false" outlineLevel="0" collapsed="false">
      <c r="A11" s="12" t="s">
        <v>384</v>
      </c>
      <c r="B11" s="12" t="s">
        <v>385</v>
      </c>
      <c r="C11" s="12" t="s">
        <v>386</v>
      </c>
      <c r="D11" s="12"/>
    </row>
    <row r="12" customFormat="false" ht="15" hidden="false" customHeight="false" outlineLevel="0" collapsed="false">
      <c r="A12" s="12" t="s">
        <v>387</v>
      </c>
      <c r="B12" s="12" t="s">
        <v>388</v>
      </c>
      <c r="C12" s="12" t="s">
        <v>389</v>
      </c>
      <c r="D12" s="12"/>
    </row>
    <row r="13" customFormat="false" ht="15" hidden="false" customHeight="false" outlineLevel="0" collapsed="false">
      <c r="A13" s="12" t="s">
        <v>390</v>
      </c>
      <c r="B13" s="12" t="s">
        <v>391</v>
      </c>
      <c r="C13" s="12" t="s">
        <v>392</v>
      </c>
      <c r="D13" s="12"/>
    </row>
    <row r="14" customFormat="false" ht="15" hidden="false" customHeight="false" outlineLevel="0" collapsed="false">
      <c r="A14" s="12" t="s">
        <v>393</v>
      </c>
      <c r="B14" s="12" t="s">
        <v>394</v>
      </c>
      <c r="C14" s="12" t="s">
        <v>395</v>
      </c>
      <c r="D14" s="12"/>
    </row>
    <row r="15" customFormat="false" ht="15" hidden="false" customHeight="false" outlineLevel="0" collapsed="false">
      <c r="A15" s="12" t="s">
        <v>396</v>
      </c>
      <c r="B15" s="12" t="s">
        <v>397</v>
      </c>
      <c r="C15" s="12" t="s">
        <v>398</v>
      </c>
      <c r="D15"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70"/>
    <col collapsed="false" customWidth="true" hidden="false" outlineLevel="0" max="4" min="4" style="1" width="22"/>
  </cols>
  <sheetData>
    <row r="1" customFormat="false" ht="15" hidden="false" customHeight="false" outlineLevel="0" collapsed="false">
      <c r="A1" s="19" t="s">
        <v>399</v>
      </c>
      <c r="B1" s="19" t="s">
        <v>400</v>
      </c>
      <c r="C1" s="19" t="s">
        <v>401</v>
      </c>
      <c r="D1" s="19" t="s">
        <v>402</v>
      </c>
    </row>
    <row r="2" customFormat="false" ht="15" hidden="false" customHeight="false" outlineLevel="0" collapsed="false">
      <c r="A2" s="12" t="s">
        <v>403</v>
      </c>
      <c r="B2" s="12" t="s">
        <v>404</v>
      </c>
      <c r="C2" s="20" t="s">
        <v>405</v>
      </c>
      <c r="D2" s="12" t="s">
        <v>406</v>
      </c>
    </row>
    <row r="3" customFormat="false" ht="15" hidden="false" customHeight="false" outlineLevel="0" collapsed="false">
      <c r="A3" s="12" t="s">
        <v>407</v>
      </c>
      <c r="B3" s="12" t="s">
        <v>408</v>
      </c>
      <c r="C3" s="20" t="s">
        <v>409</v>
      </c>
      <c r="D3" s="12" t="s">
        <v>410</v>
      </c>
    </row>
    <row r="4" customFormat="false" ht="15" hidden="false" customHeight="false" outlineLevel="0" collapsed="false">
      <c r="A4" s="12" t="s">
        <v>411</v>
      </c>
      <c r="B4" s="12" t="s">
        <v>412</v>
      </c>
      <c r="C4" s="20" t="s">
        <v>413</v>
      </c>
      <c r="D4" s="12" t="s">
        <v>410</v>
      </c>
    </row>
    <row r="5" customFormat="false" ht="15" hidden="false" customHeight="false" outlineLevel="0" collapsed="false">
      <c r="A5" s="12" t="s">
        <v>414</v>
      </c>
      <c r="B5" s="12" t="s">
        <v>415</v>
      </c>
      <c r="C5" s="20" t="s">
        <v>416</v>
      </c>
      <c r="D5" s="12" t="s">
        <v>406</v>
      </c>
    </row>
    <row r="6" customFormat="false" ht="15" hidden="false" customHeight="false" outlineLevel="0" collapsed="false">
      <c r="A6" s="12" t="s">
        <v>417</v>
      </c>
      <c r="B6" s="12" t="s">
        <v>418</v>
      </c>
      <c r="C6" s="20" t="s">
        <v>419</v>
      </c>
      <c r="D6" s="12" t="s">
        <v>410</v>
      </c>
    </row>
    <row r="7" customFormat="false" ht="15" hidden="false" customHeight="false" outlineLevel="0" collapsed="false">
      <c r="A7" s="12" t="s">
        <v>420</v>
      </c>
      <c r="B7" s="12" t="s">
        <v>421</v>
      </c>
      <c r="C7" s="20" t="s">
        <v>422</v>
      </c>
      <c r="D7" s="12" t="s">
        <v>423</v>
      </c>
    </row>
    <row r="8" customFormat="false" ht="15" hidden="false" customHeight="false" outlineLevel="0" collapsed="false">
      <c r="A8" s="12" t="s">
        <v>424</v>
      </c>
      <c r="B8" s="12" t="s">
        <v>425</v>
      </c>
      <c r="C8" s="20" t="s">
        <v>426</v>
      </c>
      <c r="D8" s="12" t="s">
        <v>423</v>
      </c>
    </row>
    <row r="9" customFormat="false" ht="15" hidden="false" customHeight="false" outlineLevel="0" collapsed="false">
      <c r="A9" s="12" t="s">
        <v>427</v>
      </c>
      <c r="B9" s="12" t="s">
        <v>428</v>
      </c>
      <c r="C9" s="20" t="s">
        <v>429</v>
      </c>
      <c r="D9" s="12" t="s">
        <v>430</v>
      </c>
    </row>
    <row r="10" customFormat="false" ht="15" hidden="false" customHeight="false" outlineLevel="0" collapsed="false">
      <c r="A10" s="12" t="s">
        <v>431</v>
      </c>
      <c r="B10" s="12" t="s">
        <v>432</v>
      </c>
      <c r="C10" s="20" t="s">
        <v>433</v>
      </c>
      <c r="D10" s="12" t="s">
        <v>434</v>
      </c>
    </row>
    <row r="11" customFormat="false" ht="15" hidden="false" customHeight="false" outlineLevel="0" collapsed="false">
      <c r="A11" s="12" t="s">
        <v>435</v>
      </c>
      <c r="B11" s="12" t="s">
        <v>436</v>
      </c>
      <c r="C11" s="20" t="s">
        <v>437</v>
      </c>
      <c r="D11" s="12" t="s">
        <v>438</v>
      </c>
    </row>
    <row r="12" customFormat="false" ht="15" hidden="false" customHeight="false" outlineLevel="0" collapsed="false">
      <c r="A12" s="12" t="s">
        <v>439</v>
      </c>
      <c r="B12" s="12" t="s">
        <v>440</v>
      </c>
      <c r="C12" s="20" t="s">
        <v>441</v>
      </c>
      <c r="D12" s="12" t="s">
        <v>442</v>
      </c>
    </row>
    <row r="13" customFormat="false" ht="15" hidden="false" customHeight="false" outlineLevel="0" collapsed="false">
      <c r="A13" s="12" t="s">
        <v>443</v>
      </c>
      <c r="B13" s="12" t="s">
        <v>444</v>
      </c>
      <c r="C13" s="20" t="s">
        <v>445</v>
      </c>
      <c r="D13" s="12" t="s">
        <v>446</v>
      </c>
    </row>
    <row r="14" customFormat="false" ht="15" hidden="false" customHeight="false" outlineLevel="0" collapsed="false">
      <c r="A14" s="12" t="s">
        <v>447</v>
      </c>
      <c r="B14" s="12" t="s">
        <v>448</v>
      </c>
      <c r="C14" s="20" t="s">
        <v>449</v>
      </c>
      <c r="D14" s="12" t="s">
        <v>450</v>
      </c>
    </row>
    <row r="15" customFormat="false" ht="15" hidden="false" customHeight="false" outlineLevel="0" collapsed="false">
      <c r="A15" s="12" t="s">
        <v>451</v>
      </c>
      <c r="B15" s="12" t="s">
        <v>452</v>
      </c>
      <c r="C15" s="20" t="s">
        <v>453</v>
      </c>
      <c r="D15" s="12" t="s">
        <v>454</v>
      </c>
    </row>
    <row r="16" customFormat="false" ht="15" hidden="false" customHeight="false" outlineLevel="0" collapsed="false">
      <c r="A16" s="12" t="s">
        <v>455</v>
      </c>
      <c r="B16" s="12" t="s">
        <v>456</v>
      </c>
      <c r="C16" s="20" t="s">
        <v>457</v>
      </c>
      <c r="D16" s="12" t="s">
        <v>458</v>
      </c>
    </row>
    <row r="17" customFormat="false" ht="15" hidden="false" customHeight="false" outlineLevel="0" collapsed="false">
      <c r="A17" s="12" t="s">
        <v>459</v>
      </c>
      <c r="B17" s="12" t="s">
        <v>460</v>
      </c>
      <c r="C17" s="20" t="s">
        <v>461</v>
      </c>
      <c r="D17" s="12" t="s">
        <v>462</v>
      </c>
    </row>
    <row r="18" customFormat="false" ht="15" hidden="false" customHeight="false" outlineLevel="0" collapsed="false">
      <c r="A18" s="12" t="s">
        <v>463</v>
      </c>
      <c r="B18" s="12" t="s">
        <v>464</v>
      </c>
      <c r="C18" s="20" t="s">
        <v>465</v>
      </c>
      <c r="D18" s="12" t="s">
        <v>466</v>
      </c>
    </row>
    <row r="19" customFormat="false" ht="15" hidden="false" customHeight="false" outlineLevel="0" collapsed="false">
      <c r="A19" s="12" t="s">
        <v>467</v>
      </c>
      <c r="B19" s="12" t="s">
        <v>468</v>
      </c>
      <c r="C19" s="20" t="s">
        <v>469</v>
      </c>
      <c r="D19" s="12" t="s">
        <v>470</v>
      </c>
    </row>
    <row r="20" customFormat="false" ht="15" hidden="false" customHeight="false" outlineLevel="0" collapsed="false">
      <c r="A20" s="12" t="s">
        <v>471</v>
      </c>
      <c r="B20" s="12" t="s">
        <v>472</v>
      </c>
      <c r="C20" s="20" t="s">
        <v>473</v>
      </c>
      <c r="D20" s="12" t="s">
        <v>474</v>
      </c>
    </row>
    <row r="21" customFormat="false" ht="15" hidden="false" customHeight="false" outlineLevel="0" collapsed="false">
      <c r="A21" s="12" t="s">
        <v>475</v>
      </c>
      <c r="B21" s="12" t="s">
        <v>476</v>
      </c>
      <c r="C21" s="20" t="s">
        <v>477</v>
      </c>
      <c r="D21" s="12" t="s">
        <v>478</v>
      </c>
    </row>
    <row r="22" customFormat="false" ht="15" hidden="false" customHeight="false" outlineLevel="0" collapsed="false">
      <c r="A22" s="12" t="s">
        <v>479</v>
      </c>
      <c r="B22" s="12" t="s">
        <v>480</v>
      </c>
      <c r="C22" s="20" t="s">
        <v>481</v>
      </c>
      <c r="D22" s="12" t="s">
        <v>478</v>
      </c>
    </row>
    <row r="23" customFormat="false" ht="15" hidden="false" customHeight="false" outlineLevel="0" collapsed="false">
      <c r="A23" s="12" t="s">
        <v>482</v>
      </c>
      <c r="B23" s="12" t="s">
        <v>483</v>
      </c>
      <c r="C23" s="20" t="s">
        <v>484</v>
      </c>
      <c r="D23" s="12" t="s">
        <v>485</v>
      </c>
    </row>
    <row r="24" customFormat="false" ht="15" hidden="false" customHeight="false" outlineLevel="0" collapsed="false">
      <c r="A24" s="12" t="s">
        <v>486</v>
      </c>
      <c r="B24" s="12" t="s">
        <v>487</v>
      </c>
      <c r="C24" s="20" t="s">
        <v>488</v>
      </c>
      <c r="D24" s="12" t="s">
        <v>485</v>
      </c>
    </row>
    <row r="25" customFormat="false" ht="15" hidden="false" customHeight="false" outlineLevel="0" collapsed="false">
      <c r="A25" s="12" t="s">
        <v>489</v>
      </c>
      <c r="B25" s="12" t="s">
        <v>490</v>
      </c>
      <c r="C25" s="20" t="s">
        <v>491</v>
      </c>
      <c r="D25" s="12" t="s">
        <v>485</v>
      </c>
    </row>
    <row r="26" customFormat="false" ht="15" hidden="false" customHeight="false" outlineLevel="0" collapsed="false">
      <c r="A26" s="12" t="s">
        <v>492</v>
      </c>
      <c r="B26" s="12" t="s">
        <v>493</v>
      </c>
      <c r="C26" s="20" t="s">
        <v>494</v>
      </c>
      <c r="D26" s="12" t="s">
        <v>485</v>
      </c>
    </row>
    <row r="27" customFormat="false" ht="15" hidden="false" customHeight="false" outlineLevel="0" collapsed="false">
      <c r="A27" s="12" t="s">
        <v>495</v>
      </c>
      <c r="B27" s="12" t="s">
        <v>496</v>
      </c>
      <c r="C27" s="20" t="s">
        <v>497</v>
      </c>
      <c r="D27" s="12" t="s">
        <v>498</v>
      </c>
    </row>
    <row r="28" customFormat="false" ht="15" hidden="false" customHeight="false" outlineLevel="0" collapsed="false">
      <c r="A28" s="12" t="s">
        <v>499</v>
      </c>
      <c r="B28" s="12" t="s">
        <v>500</v>
      </c>
      <c r="C28" s="20" t="s">
        <v>501</v>
      </c>
      <c r="D28" s="12" t="s">
        <v>502</v>
      </c>
    </row>
    <row r="29" customFormat="false" ht="15" hidden="false" customHeight="false" outlineLevel="0" collapsed="false">
      <c r="A29" s="12" t="s">
        <v>503</v>
      </c>
      <c r="B29" s="12" t="s">
        <v>504</v>
      </c>
      <c r="C29" s="20" t="s">
        <v>505</v>
      </c>
      <c r="D29" s="12" t="s">
        <v>506</v>
      </c>
    </row>
    <row r="30" customFormat="false" ht="15" hidden="false" customHeight="false" outlineLevel="0" collapsed="false">
      <c r="A30" s="12" t="s">
        <v>507</v>
      </c>
      <c r="B30" s="12" t="s">
        <v>508</v>
      </c>
      <c r="C30" s="20" t="s">
        <v>509</v>
      </c>
      <c r="D30" s="12" t="s">
        <v>510</v>
      </c>
    </row>
    <row r="31" customFormat="false" ht="15" hidden="false" customHeight="false" outlineLevel="0" collapsed="false">
      <c r="A31" s="12" t="s">
        <v>511</v>
      </c>
      <c r="B31" s="12" t="s">
        <v>512</v>
      </c>
      <c r="C31" s="20" t="s">
        <v>513</v>
      </c>
      <c r="D31" s="12" t="s">
        <v>514</v>
      </c>
    </row>
    <row r="32" customFormat="false" ht="15" hidden="false" customHeight="false" outlineLevel="0" collapsed="false">
      <c r="A32" s="12" t="s">
        <v>515</v>
      </c>
      <c r="B32" s="12" t="s">
        <v>516</v>
      </c>
      <c r="C32" s="20" t="s">
        <v>517</v>
      </c>
      <c r="D32" s="12" t="s">
        <v>514</v>
      </c>
    </row>
    <row r="33" customFormat="false" ht="15" hidden="false" customHeight="false" outlineLevel="0" collapsed="false">
      <c r="A33" s="12" t="s">
        <v>518</v>
      </c>
      <c r="B33" s="12" t="s">
        <v>519</v>
      </c>
      <c r="C33" s="20" t="s">
        <v>520</v>
      </c>
      <c r="D33" s="12" t="s">
        <v>521</v>
      </c>
    </row>
    <row r="34" customFormat="false" ht="15" hidden="false" customHeight="false" outlineLevel="0" collapsed="false">
      <c r="A34" s="12" t="s">
        <v>522</v>
      </c>
      <c r="B34" s="12" t="s">
        <v>523</v>
      </c>
      <c r="C34" s="20" t="s">
        <v>524</v>
      </c>
      <c r="D34" s="12" t="s">
        <v>525</v>
      </c>
    </row>
    <row r="35" customFormat="false" ht="15" hidden="false" customHeight="false" outlineLevel="0" collapsed="false">
      <c r="A35" s="12" t="s">
        <v>526</v>
      </c>
      <c r="B35" s="12" t="s">
        <v>527</v>
      </c>
      <c r="C35" s="20" t="s">
        <v>528</v>
      </c>
      <c r="D35" s="12" t="s">
        <v>529</v>
      </c>
    </row>
    <row r="36" customFormat="false" ht="15" hidden="false" customHeight="false" outlineLevel="0" collapsed="false">
      <c r="A36" s="12" t="s">
        <v>530</v>
      </c>
      <c r="B36" s="12" t="s">
        <v>531</v>
      </c>
      <c r="C36" s="20" t="s">
        <v>532</v>
      </c>
      <c r="D36" s="12" t="s">
        <v>533</v>
      </c>
    </row>
    <row r="37" customFormat="false" ht="15" hidden="false" customHeight="false" outlineLevel="0" collapsed="false">
      <c r="A37" s="12" t="s">
        <v>534</v>
      </c>
      <c r="B37" s="12" t="s">
        <v>535</v>
      </c>
      <c r="C37" s="20" t="s">
        <v>536</v>
      </c>
      <c r="D37" s="12" t="s">
        <v>533</v>
      </c>
    </row>
    <row r="38" customFormat="false" ht="15" hidden="false" customHeight="false" outlineLevel="0" collapsed="false">
      <c r="A38" s="12" t="s">
        <v>537</v>
      </c>
      <c r="B38" s="12" t="s">
        <v>538</v>
      </c>
      <c r="C38" s="20" t="s">
        <v>539</v>
      </c>
      <c r="D38" s="12" t="s">
        <v>540</v>
      </c>
    </row>
    <row r="39" customFormat="false" ht="15" hidden="false" customHeight="false" outlineLevel="0" collapsed="false">
      <c r="A39" s="12" t="s">
        <v>541</v>
      </c>
      <c r="B39" s="12" t="s">
        <v>542</v>
      </c>
      <c r="C39" s="20" t="s">
        <v>543</v>
      </c>
      <c r="D39" s="12" t="s">
        <v>540</v>
      </c>
    </row>
    <row r="40" customFormat="false" ht="15" hidden="false" customHeight="false" outlineLevel="0" collapsed="false">
      <c r="A40" s="12" t="s">
        <v>544</v>
      </c>
      <c r="B40" s="12" t="s">
        <v>545</v>
      </c>
      <c r="C40" s="20" t="s">
        <v>546</v>
      </c>
      <c r="D40" s="12" t="s">
        <v>540</v>
      </c>
    </row>
    <row r="41" customFormat="false" ht="15" hidden="false" customHeight="false" outlineLevel="0" collapsed="false">
      <c r="A41" s="12" t="s">
        <v>547</v>
      </c>
      <c r="B41" s="12" t="s">
        <v>548</v>
      </c>
      <c r="C41" s="20" t="s">
        <v>549</v>
      </c>
      <c r="D41" s="12" t="s">
        <v>550</v>
      </c>
    </row>
    <row r="42" customFormat="false" ht="15" hidden="false" customHeight="false" outlineLevel="0" collapsed="false">
      <c r="A42" s="12" t="s">
        <v>551</v>
      </c>
      <c r="B42" s="12" t="s">
        <v>552</v>
      </c>
      <c r="C42" s="20" t="s">
        <v>553</v>
      </c>
      <c r="D42" s="12" t="s">
        <v>550</v>
      </c>
    </row>
    <row r="43" customFormat="false" ht="15" hidden="false" customHeight="false" outlineLevel="0" collapsed="false">
      <c r="A43" s="12" t="s">
        <v>554</v>
      </c>
      <c r="B43" s="12" t="s">
        <v>555</v>
      </c>
      <c r="C43" s="20" t="s">
        <v>556</v>
      </c>
      <c r="D43" s="12" t="s">
        <v>557</v>
      </c>
    </row>
    <row r="44" customFormat="false" ht="15" hidden="false" customHeight="false" outlineLevel="0" collapsed="false">
      <c r="A44" s="12" t="s">
        <v>558</v>
      </c>
      <c r="B44" s="12" t="s">
        <v>559</v>
      </c>
      <c r="C44" s="20" t="s">
        <v>560</v>
      </c>
      <c r="D44" s="12" t="s">
        <v>561</v>
      </c>
    </row>
    <row r="45" customFormat="false" ht="15" hidden="false" customHeight="false" outlineLevel="0" collapsed="false">
      <c r="A45" s="12" t="s">
        <v>562</v>
      </c>
      <c r="B45" s="12" t="s">
        <v>563</v>
      </c>
      <c r="C45" s="20" t="s">
        <v>564</v>
      </c>
      <c r="D45" s="12" t="s">
        <v>565</v>
      </c>
    </row>
    <row r="46" customFormat="false" ht="15" hidden="false" customHeight="false" outlineLevel="0" collapsed="false">
      <c r="A46" s="12" t="s">
        <v>566</v>
      </c>
      <c r="B46" s="12" t="s">
        <v>567</v>
      </c>
      <c r="C46" s="20" t="s">
        <v>568</v>
      </c>
      <c r="D46" s="12" t="s">
        <v>383</v>
      </c>
    </row>
    <row r="47" customFormat="false" ht="15" hidden="false" customHeight="false" outlineLevel="0" collapsed="false">
      <c r="A47" s="12" t="s">
        <v>569</v>
      </c>
      <c r="B47" s="12" t="s">
        <v>570</v>
      </c>
      <c r="C47" s="20" t="s">
        <v>571</v>
      </c>
      <c r="D47" s="12" t="s">
        <v>572</v>
      </c>
    </row>
    <row r="48" customFormat="false" ht="15" hidden="false" customHeight="false" outlineLevel="0" collapsed="false">
      <c r="A48" s="12" t="s">
        <v>573</v>
      </c>
      <c r="B48" s="12" t="s">
        <v>574</v>
      </c>
      <c r="C48" s="20" t="s">
        <v>575</v>
      </c>
      <c r="D48" s="12" t="s">
        <v>576</v>
      </c>
    </row>
    <row r="49" customFormat="false" ht="15" hidden="false" customHeight="false" outlineLevel="0" collapsed="false">
      <c r="A49" s="12" t="s">
        <v>577</v>
      </c>
      <c r="B49" s="12" t="s">
        <v>578</v>
      </c>
      <c r="C49" s="20" t="s">
        <v>579</v>
      </c>
      <c r="D49" s="12" t="s">
        <v>580</v>
      </c>
    </row>
    <row r="50" customFormat="false" ht="15" hidden="false" customHeight="false" outlineLevel="0" collapsed="false">
      <c r="A50" s="12" t="s">
        <v>581</v>
      </c>
      <c r="B50" s="12" t="s">
        <v>582</v>
      </c>
      <c r="C50" s="20" t="s">
        <v>583</v>
      </c>
      <c r="D50" s="12" t="s">
        <v>576</v>
      </c>
    </row>
    <row r="51" customFormat="false" ht="15" hidden="false" customHeight="false" outlineLevel="0" collapsed="false">
      <c r="A51" s="12" t="s">
        <v>584</v>
      </c>
      <c r="B51" s="12" t="s">
        <v>585</v>
      </c>
      <c r="C51" s="20" t="s">
        <v>586</v>
      </c>
      <c r="D51" s="12" t="s">
        <v>587</v>
      </c>
    </row>
    <row r="52" customFormat="false" ht="15" hidden="false" customHeight="false" outlineLevel="0" collapsed="false">
      <c r="A52" s="12" t="s">
        <v>588</v>
      </c>
      <c r="B52" s="12" t="s">
        <v>589</v>
      </c>
      <c r="C52" s="20" t="s">
        <v>590</v>
      </c>
      <c r="D52" s="12" t="s">
        <v>587</v>
      </c>
    </row>
    <row r="53" customFormat="false" ht="15" hidden="false" customHeight="false" outlineLevel="0" collapsed="false">
      <c r="A53" s="12" t="s">
        <v>591</v>
      </c>
      <c r="B53" s="12" t="s">
        <v>592</v>
      </c>
      <c r="C53" s="20" t="s">
        <v>593</v>
      </c>
      <c r="D53" s="12" t="s">
        <v>594</v>
      </c>
    </row>
    <row r="55" customFormat="false" ht="15" hidden="false" customHeight="false" outlineLevel="0" collapsed="false">
      <c r="A55" s="4" t="s">
        <v>595</v>
      </c>
      <c r="B55" s="21" t="s">
        <v>596</v>
      </c>
      <c r="C55" s="21"/>
      <c r="D55" s="21"/>
    </row>
  </sheetData>
  <mergeCells count="1">
    <mergeCell ref="B55:D55"/>
  </mergeCells>
  <hyperlinks>
    <hyperlink ref="C2" r:id="rId1" display="https://docs.vllm.ai/en/latest/features/multimodal_inputs.html"/>
    <hyperlink ref="C3" r:id="rId2" display="https://docs.vllm.ai/en/latest/models/supported_models.html"/>
    <hyperlink ref="C4" r:id="rId3" display="https://github.com/vllm-project/vllm/issues?q=is%3Aissue+label%3Aperformance+qwen2.5-vl"/>
    <hyperlink ref="C5" r:id="rId4" display="https://docs.sglang.ai/supported_models/multimodal_language_models.html"/>
    <hyperlink ref="C6" r:id="rId5" display="https://github.com/sgl-project/sglang/issues?q=qwen2.5-vl"/>
    <hyperlink ref="C7" r:id="rId6" display="https://github.com/sgl-project/sglang/issues?q=is%3Aissue+roadmap"/>
    <hyperlink ref="C8" r:id="rId7" display="https://github.com/vllm-project/vllm/issues?q=is%3Aissue+roadmap"/>
    <hyperlink ref="C9" r:id="rId8" display="https://huggingface.co/Qwen/Qwen2.5-VL-3B-Instruct"/>
    <hyperlink ref="C10" r:id="rId9" display="https://arxiv.org/abs/2502.13923"/>
    <hyperlink ref="C11" r:id="rId10" display="https://huggingface.co/docs/transformers/model_doc/qwen2_5_vl"/>
    <hyperlink ref="C12" r:id="rId11" display="https://docs.pytorch.org/docs/stable/notes/randomness.html"/>
    <hyperlink ref="C13" r:id="rId12" display="https://docs.pytorch.org/tutorials/recipes/recipes/profiler_recipe.html"/>
    <hyperlink ref="C14" r:id="rId13" display="https://docs.pytorch.org/docs/stable/notes/cuda.html"/>
    <hyperlink ref="C15" r:id="rId14" display="https://dl.acm.org/doi/10.1145/1498765.1498785"/>
    <hyperlink ref="C16" r:id="rId15" display="https://docs.pytorch.org/docs/stable/notes/amp_examples.html"/>
    <hyperlink ref="C17" r:id="rId16" display="https://docs.pytorch.org/tutorials/intermediate/torch_compile_tutorial.html"/>
    <hyperlink ref="C18" r:id="rId17" display="https://docs.pytorch.org/docs/stable/generated/torch.nn.functional.scaled_dot_product_attention.html"/>
    <hyperlink ref="C19" r:id="rId18" display="https://docs.scipy.org/doc/scipy/reference/generated/scipy.stats.bootstrap.html"/>
    <hyperlink ref="C20" r:id="rId19" display="https://modal.com/docs/guide/gpu"/>
    <hyperlink ref="C21" r:id="rId20" display="https://amazon-berkeley-objects.s3.amazonaws.com/index.html"/>
    <hyperlink ref="C22" r:id="rId21" display="https://arxiv.org/abs/1803.09010"/>
    <hyperlink ref="C23" r:id="rId22" display="https://arxiv.org/abs/2303.15343"/>
    <hyperlink ref="C24" r:id="rId23" display="https://github.com/mlfoundations/open_clip"/>
    <hyperlink ref="C25" r:id="rId24" display="https://huggingface.co/docs/transformers/model_doc/siglip"/>
    <hyperlink ref="C26" r:id="rId25" display="https://arxiv.org/abs/2106.09685"/>
    <hyperlink ref="C27" r:id="rId26" display="https://arxiv.org/abs/1810.03993"/>
    <hyperlink ref="C28" r:id="rId27" display="https://docs.pytorch.org/ao/stable/quantization_overview.html"/>
    <hyperlink ref="C29" r:id="rId28" display="https://github.com/vllm-project/vllm/tree/main/benchmarks"/>
    <hyperlink ref="C30" r:id="rId29" display="https://github.com/black-forest-labs/flux2"/>
    <hyperlink ref="C31" r:id="rId30" display="https://huggingface.co/black-forest-labs/FLUX.2-klein-4B"/>
    <hyperlink ref="C32" r:id="rId31" display="https://huggingface.co/black-forest-labs/FLUX.2-klein-base-4B"/>
    <hyperlink ref="C33" r:id="rId32" display="https://huggingface.co/docs/diffusers/api/pipelines/flux2"/>
    <hyperlink ref="C34" r:id="rId33" display="https://arxiv.org/abs/2212.09748"/>
    <hyperlink ref="C35" r:id="rId34" display="https://arxiv.org/abs/2403.03206"/>
    <hyperlink ref="C36" r:id="rId35" display="https://arxiv.org/abs/2210.02747"/>
    <hyperlink ref="C37" r:id="rId36" display="https://arxiv.org/abs/2207.12598"/>
    <hyperlink ref="C38" r:id="rId37" display="https://docs.nvidia.com/cuda/cuda-c-programming-guide/index.html"/>
    <hyperlink ref="C39" r:id="rId38" display="https://docs.nvidia.com/cuda/cuda-c-best-practices-guide/index.html"/>
    <hyperlink ref="C40" r:id="rId39" display="https://docs.pytorch.org/docs/stable/cpp_extension.html"/>
    <hyperlink ref="C41" r:id="rId40" display="https://triton-lang.org/main/getting-started/tutorials/01-vector-add.html"/>
    <hyperlink ref="C42" r:id="rId41" display="https://triton-lang.org/main/getting-started/tutorials/02-fused-softmax.html"/>
    <hyperlink ref="C43" r:id="rId42" display="https://triton-lang.org/main/getting-started/tutorials/05-layer-norm.html"/>
    <hyperlink ref="C44" r:id="rId43" display="https://triton-lang.org/main/programming-guide/chapter-3/debugging.html"/>
    <hyperlink ref="C45" r:id="rId44" display="https://arxiv.org/abs/2205.14135"/>
    <hyperlink ref="C46" r:id="rId45" display="https://docs.pytorch.org/tutorials/advanced/python_custom_ops.html"/>
    <hyperlink ref="C47" r:id="rId46" display="https://docs.pytorch.org/docs/stable/torch.compiler_troubleshooting.html"/>
    <hyperlink ref="C48" r:id="rId47" display="https://pytorch.org/tutorials/beginner/dist_overview.html"/>
    <hyperlink ref="C49" r:id="rId48" display="https://pytorch.org/tutorials/intermediate/ddp_tutorial.html"/>
    <hyperlink ref="C50" r:id="rId49" display="https://docs.pytorch.org/tutorials/intermediate/FSDP_tutorial.html"/>
    <hyperlink ref="C51" r:id="rId50" display="https://docs.vllm.ai/en/latest/contributing/index.html"/>
    <hyperlink ref="C52" r:id="rId51" display="https://docs.sglang.ai/developer_guide/contribution_guide.html"/>
    <hyperlink ref="C53" r:id="rId52" display="https://huggingface.co/blog/communit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2026-09-19T05:58:54Z</dcterms:created>
  <dc:creator>openpyxl</dc:creator>
  <dc:description/>
  <dc:language>en-US</dc:language>
  <cp:lastModifiedBy/>
  <dcterms:modified xsi:type="dcterms:W3CDTF">2026-09-19T05:58:54Z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